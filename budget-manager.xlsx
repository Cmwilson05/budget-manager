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cmwilsonTSS/Documents/budget-manager/"/>
    </mc:Choice>
  </mc:AlternateContent>
  <xr:revisionPtr revIDLastSave="0" documentId="13_ncr:1_{DFADB59E-D22A-5348-AC26-9EDE573FE058}" xr6:coauthVersionLast="47" xr6:coauthVersionMax="47" xr10:uidLastSave="{00000000-0000-0000-0000-000000000000}"/>
  <bookViews>
    <workbookView xWindow="0" yWindow="660" windowWidth="29200" windowHeight="18980" activeTab="3" xr2:uid="{00000000-000D-0000-FFFF-FFFF00000000}"/>
  </bookViews>
  <sheets>
    <sheet name="Accounts" sheetId="1" r:id="rId1"/>
    <sheet name="Workbench" sheetId="2" r:id="rId2"/>
    <sheet name="Bill Schedule" sheetId="3" r:id="rId3"/>
    <sheet name="CC - CMW (3619)" sheetId="4" r:id="rId4"/>
    <sheet name="CC - JGW (9299)" sheetId="5" r:id="rId5"/>
    <sheet name="CC - SAMS (1261)" sheetId="6" r:id="rId6"/>
  </sheets>
  <definedNames>
    <definedName name="Accounts">Accounts!$A$2:$D$12</definedName>
    <definedName name="WorkbenchBalance">Accounts!$B$18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 a="1"/>
  <c r="B3" i="4" s="1"/>
  <c r="C3" i="6"/>
  <c r="B3" i="6"/>
  <c r="A3" i="6"/>
  <c r="D3" i="6" s="1"/>
  <c r="C3" i="5"/>
  <c r="B3" i="5"/>
  <c r="A3" i="5"/>
  <c r="D3" i="5" s="1"/>
  <c r="C3" i="4"/>
  <c r="A3" i="4"/>
  <c r="I2" i="3"/>
  <c r="I1" i="3"/>
  <c r="C3" i="2"/>
  <c r="B3" i="2"/>
  <c r="B18" i="1"/>
  <c r="A3" i="2" s="1"/>
  <c r="B15" i="1"/>
  <c r="B14" i="1"/>
  <c r="B16" i="1" s="1"/>
  <c r="D3" i="4" l="1"/>
  <c r="D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<sst xmlns="http://schemas.openxmlformats.org/spreadsheetml/2006/main" count="248" uniqueCount="138">
  <si>
    <t>Name</t>
  </si>
  <si>
    <t>Balance</t>
  </si>
  <si>
    <t>Type</t>
  </si>
  <si>
    <t>Include in Workbench?</t>
  </si>
  <si>
    <t>CHK 1, JGW (01 09302479)</t>
  </si>
  <si>
    <t>Asset</t>
  </si>
  <si>
    <t>CHK 2, CMW (01 13107529)</t>
  </si>
  <si>
    <t>GROCERIES (1310752-020)</t>
  </si>
  <si>
    <t>GAS (0930247-024)</t>
  </si>
  <si>
    <t>MASTERCARD CMW (3619)</t>
  </si>
  <si>
    <t>Liability</t>
  </si>
  <si>
    <t>MASTERCARD JGW (9299)</t>
  </si>
  <si>
    <t>SAMS CC (1261)</t>
  </si>
  <si>
    <t>EMERGENCY (1310752-021)</t>
  </si>
  <si>
    <t>MORTGAGE (0930247-021)</t>
  </si>
  <si>
    <t>SAV 1, JGW (0930247)</t>
  </si>
  <si>
    <t>SAV 2, CMW (1310752)</t>
  </si>
  <si>
    <t>Total Assets</t>
  </si>
  <si>
    <t>Total Liabilities</t>
  </si>
  <si>
    <t>Net Worth</t>
  </si>
  <si>
    <t>Main Cash Flow</t>
  </si>
  <si>
    <t>Current</t>
  </si>
  <si>
    <t>Income</t>
  </si>
  <si>
    <t>Expenses</t>
  </si>
  <si>
    <t>Projected</t>
  </si>
  <si>
    <t>Description</t>
  </si>
  <si>
    <t>Amount</t>
  </si>
  <si>
    <t>Due Date</t>
  </si>
  <si>
    <t>In Calc?</t>
  </si>
  <si>
    <t>Studio - may rent</t>
  </si>
  <si>
    <t>Frequency</t>
  </si>
  <si>
    <t>Next Due</t>
  </si>
  <si>
    <t>Last Paid</t>
  </si>
  <si>
    <t>Total Monthly Fixed</t>
  </si>
  <si>
    <t>M&amp;T Bank</t>
  </si>
  <si>
    <t>Bi-weekly</t>
  </si>
  <si>
    <t>Safe to Spend</t>
  </si>
  <si>
    <t>Wildren Allowance</t>
  </si>
  <si>
    <t>Monthly</t>
  </si>
  <si>
    <t>SMS</t>
  </si>
  <si>
    <t>Studio Rent</t>
  </si>
  <si>
    <t>Ameren</t>
  </si>
  <si>
    <t>American Water</t>
  </si>
  <si>
    <t>T-Mobile</t>
  </si>
  <si>
    <t>Travelers</t>
  </si>
  <si>
    <t>Minecraft Realms</t>
  </si>
  <si>
    <t>Spotify</t>
  </si>
  <si>
    <t>T-Fiber</t>
  </si>
  <si>
    <t>iCloud Storage</t>
  </si>
  <si>
    <t>iCloud</t>
  </si>
  <si>
    <t>Cubesmart</t>
  </si>
  <si>
    <t>UofI Med</t>
  </si>
  <si>
    <t>Stormwater</t>
  </si>
  <si>
    <t>Quarterly</t>
  </si>
  <si>
    <t>GPSD</t>
  </si>
  <si>
    <t>MuseScore</t>
  </si>
  <si>
    <t>Annually</t>
  </si>
  <si>
    <t>Amazon</t>
  </si>
  <si>
    <t>Paramount+ Walmart</t>
  </si>
  <si>
    <t>Walmart</t>
  </si>
  <si>
    <t>Google One (pcez31)</t>
  </si>
  <si>
    <t>Costco</t>
  </si>
  <si>
    <t>MTNA Membership</t>
  </si>
  <si>
    <t>Siteground Domain</t>
  </si>
  <si>
    <t>ClearVPN</t>
  </si>
  <si>
    <t>Strava</t>
  </si>
  <si>
    <t>Pokémon Home</t>
  </si>
  <si>
    <t>Sam's Club</t>
  </si>
  <si>
    <t>Canva Pro</t>
  </si>
  <si>
    <t>Nissan Versa</t>
  </si>
  <si>
    <t>Apple Arcade</t>
  </si>
  <si>
    <t>Nintendo Switch Online</t>
  </si>
  <si>
    <t>Claude Pro</t>
  </si>
  <si>
    <t>Wand</t>
  </si>
  <si>
    <t>Nissan Murano</t>
  </si>
  <si>
    <t>AARP</t>
  </si>
  <si>
    <t>Youtube ($25)</t>
  </si>
  <si>
    <t>Prepaid</t>
  </si>
  <si>
    <t>Spotify (jgw)</t>
  </si>
  <si>
    <t>Markin Locker Rental</t>
  </si>
  <si>
    <t>Perplexity</t>
  </si>
  <si>
    <t>Google Workspace</t>
  </si>
  <si>
    <t>1Password ($5.30)</t>
  </si>
  <si>
    <t>Anna's Archive</t>
  </si>
  <si>
    <t>Student Loans: CMW (as of January 27, 2026)</t>
  </si>
  <si>
    <t>Debt</t>
  </si>
  <si>
    <t>Student Loans: JGW (as of January 27, 2026)</t>
  </si>
  <si>
    <t>Apple Music</t>
  </si>
  <si>
    <t>N/A - Monthly</t>
  </si>
  <si>
    <t>OpenAI (ChatGPT)</t>
  </si>
  <si>
    <t>Mullvad</t>
  </si>
  <si>
    <t>Bluey: Let’s Play!</t>
  </si>
  <si>
    <t>Xfinity</t>
  </si>
  <si>
    <t>Netflix</t>
  </si>
  <si>
    <t>Apple Fitness</t>
  </si>
  <si>
    <t>Parallels</t>
  </si>
  <si>
    <t>Crunchyroll</t>
  </si>
  <si>
    <t>http://Raindrop.io Pro</t>
  </si>
  <si>
    <t>Peacock</t>
  </si>
  <si>
    <t>Obsidian</t>
  </si>
  <si>
    <t>Xbox Game Pass</t>
  </si>
  <si>
    <t>HBO Max</t>
  </si>
  <si>
    <t>Pigment</t>
  </si>
  <si>
    <t>N/A - Annually</t>
  </si>
  <si>
    <t>Playstation Plus</t>
  </si>
  <si>
    <t>PictureThis - Plant Identifier</t>
  </si>
  <si>
    <t>TopTeacher.com</t>
  </si>
  <si>
    <t>Feedly</t>
  </si>
  <si>
    <t>BrickIt</t>
  </si>
  <si>
    <t>Capti</t>
  </si>
  <si>
    <t>Natural Reader</t>
  </si>
  <si>
    <t>Cronometer</t>
  </si>
  <si>
    <t>Kiddopia</t>
  </si>
  <si>
    <t>Liquidtext</t>
  </si>
  <si>
    <t>Siteground Website</t>
  </si>
  <si>
    <t>Otter.ai</t>
  </si>
  <si>
    <t>ABCMouse</t>
  </si>
  <si>
    <t>Notability Pro</t>
  </si>
  <si>
    <t>Pro Tools</t>
  </si>
  <si>
    <t>Setapp</t>
  </si>
  <si>
    <t>Goodnotes 6</t>
  </si>
  <si>
    <t>Speechify</t>
  </si>
  <si>
    <t>Minecraft Education</t>
  </si>
  <si>
    <t>Disney+</t>
  </si>
  <si>
    <t>FitBod</t>
  </si>
  <si>
    <t>Ford Escape</t>
  </si>
  <si>
    <t>Grove Collaborative</t>
  </si>
  <si>
    <t>Mobilism</t>
  </si>
  <si>
    <t>Credit Card - CMW (3619)</t>
  </si>
  <si>
    <t>Balance Owed</t>
  </si>
  <si>
    <t>Charges</t>
  </si>
  <si>
    <t>Payments</t>
  </si>
  <si>
    <t>Claude</t>
  </si>
  <si>
    <t>Credit Card - JGW (9299)</t>
  </si>
  <si>
    <t>Credit Card - SAMS (1261)</t>
  </si>
  <si>
    <t>Workbench Total</t>
  </si>
  <si>
    <t>Costco Renewal</t>
  </si>
  <si>
    <t>Costco 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</si>
</sst>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&quot;$&quot;#,##0.00"/>
    <numFmt numFmtId="165" formatCode="\$#,##0.00"/>
    <numFmt numFmtId="166" formatCode="m/d/yyyy"/>
  </numFmts>
  <fonts count="15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b/>
      <sz val="12"/>
      <color theme="1"/>
      <name val="Calibri"/>
      <scheme val="minor"/>
    </font>
    <font>
      <b/>
      <sz val="14"/>
      <color theme="1"/>
      <name val="Calibri"/>
      <scheme val="minor"/>
    </font>
    <font>
      <b/>
      <sz val="12"/>
      <color rgb="FF1F4E79"/>
      <name val="Calibri"/>
      <scheme val="minor"/>
    </font>
    <font>
      <b/>
      <sz val="16"/>
      <color rgb="FFFFFFFF"/>
      <name val="Calibri"/>
      <scheme val="minor"/>
    </font>
    <font>
      <b/>
      <sz val="10"/>
      <color rgb="FFFFFFFF"/>
      <name val="Calibri"/>
      <scheme val="minor"/>
    </font>
    <font>
      <b/>
      <sz val="14"/>
      <color rgb="FFFFFFFF"/>
      <name val="Calibri"/>
      <scheme val="minor"/>
    </font>
    <font>
      <b/>
      <sz val="14"/>
      <color rgb="FF00B894"/>
      <name val="Calibri"/>
      <scheme val="minor"/>
    </font>
    <font>
      <b/>
      <sz val="14"/>
      <color rgb="FFD63031"/>
      <name val="Calibri"/>
      <scheme val="minor"/>
    </font>
    <font>
      <b/>
      <sz val="14"/>
      <color rgb="FF74B9FF"/>
      <name val="Calibri"/>
      <scheme val="minor"/>
    </font>
    <font>
      <u/>
      <sz val="11"/>
      <color rgb="FF0000FF"/>
      <name val="Roboto"/>
    </font>
    <font>
      <sz val="11"/>
      <color theme="1"/>
      <name val="Calibri"/>
      <family val="2"/>
      <scheme val="minor"/>
    </font>
    <font>
      <b/>
      <sz val="12"/>
      <color rgb="FF1F4E7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2D3436"/>
        <bgColor rgb="FF2D343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165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164" fontId="4" fillId="0" borderId="0" xfId="0" applyNumberFormat="1" applyFont="1"/>
    <xf numFmtId="164" fontId="5" fillId="0" borderId="0" xfId="0" applyNumberFormat="1" applyFont="1"/>
    <xf numFmtId="0" fontId="7" fillId="2" borderId="1" xfId="0" applyFont="1" applyFill="1" applyBorder="1" applyAlignment="1">
      <alignment horizontal="center"/>
    </xf>
    <xf numFmtId="165" fontId="8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 applyAlignment="1">
      <alignment horizontal="center"/>
    </xf>
    <xf numFmtId="165" fontId="10" fillId="2" borderId="1" xfId="0" applyNumberFormat="1" applyFont="1" applyFill="1" applyBorder="1" applyAlignment="1">
      <alignment horizontal="center"/>
    </xf>
    <xf numFmtId="165" fontId="11" fillId="2" borderId="1" xfId="0" applyNumberFormat="1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vertical="center"/>
    </xf>
    <xf numFmtId="0" fontId="7" fillId="3" borderId="0" xfId="0" applyFont="1" applyFill="1" applyAlignment="1">
      <alignment horizontal="center"/>
    </xf>
    <xf numFmtId="0" fontId="12" fillId="0" borderId="0" xfId="0" applyFont="1" applyAlignment="1">
      <alignment vertical="center"/>
    </xf>
    <xf numFmtId="4" fontId="2" fillId="0" borderId="0" xfId="0" applyNumberFormat="1" applyFont="1"/>
    <xf numFmtId="0" fontId="6" fillId="2" borderId="1" xfId="0" applyFont="1" applyFill="1" applyBorder="1" applyAlignment="1">
      <alignment horizontal="center"/>
    </xf>
    <xf numFmtId="0" fontId="0" fillId="0" borderId="0" xfId="0"/>
    <xf numFmtId="0" fontId="8" fillId="3" borderId="1" xfId="0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/>
    </xf>
    <xf numFmtId="165" fontId="11" fillId="3" borderId="1" xfId="0" applyNumberFormat="1" applyFont="1" applyFill="1" applyBorder="1" applyAlignment="1">
      <alignment horizontal="center"/>
    </xf>
    <xf numFmtId="0" fontId="14" fillId="0" borderId="0" xfId="0" applyFont="1"/>
    <xf numFmtId="0" fontId="13" fillId="0" borderId="0" xfId="0" applyFont="1"/>
  </cellXfs>
  <cellStyles count="1"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b/>
      </font>
      <fill>
        <patternFill patternType="solid">
          <fgColor rgb="FFB6D7A8"/>
          <bgColor rgb="FFB6D7A8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color rgb="FF000000"/>
      </font>
      <fill>
        <patternFill patternType="solid">
          <fgColor rgb="FFB6D7A8"/>
          <bgColor rgb="FFB6D7A8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6" defaultTableStyle="TableStyleMedium9" defaultPivotStyle="PivotStyleLight16">
    <tableStyle name="Accounts-style" pivot="0" count="4" xr9:uid="{00000000-0011-0000-FFFF-FFFF00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Workbench-style" pivot="0" count="4" xr9:uid="{00000000-0011-0000-FFFF-FFFF01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Bill Schedule-style" pivot="0" count="4" xr9:uid="{00000000-0011-0000-FFFF-FFFF02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CC - CMW (3619)-style" pivot="0" count="4" xr9:uid="{00000000-0011-0000-FFFF-FFFF03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CC - JGW (9299)-style" pivot="0" count="4" xr9:uid="{00000000-0011-0000-FFFF-FFFF04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C - SAMS (1261)-style" pivot="0" count="4" xr9:uid="{00000000-0011-0000-FFFF-FFFF05000000}">
      <tableStyleElement type="wholeTable" size="0" dxfId="4"/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12">
  <tableColumns count="4">
    <tableColumn id="1" xr3:uid="{00000000-0010-0000-0000-000001000000}" name="Name"/>
    <tableColumn id="2" xr3:uid="{00000000-0010-0000-0000-000002000000}" name="Balance"/>
    <tableColumn id="3" xr3:uid="{00000000-0010-0000-0000-000003000000}" name="Type"/>
    <tableColumn id="4" xr3:uid="{00000000-0010-0000-0000-000004000000}" name="Include in Workbench?"/>
  </tableColumns>
  <tableStyleInfo name="Account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5:D38">
  <tableColumns count="4">
    <tableColumn id="1" xr3:uid="{00000000-0010-0000-0100-000001000000}" name="Description"/>
    <tableColumn id="2" xr3:uid="{00000000-0010-0000-0100-000002000000}" name="Amount"/>
    <tableColumn id="3" xr3:uid="{00000000-0010-0000-0100-000003000000}" name="Due Date"/>
    <tableColumn id="4" xr3:uid="{00000000-0010-0000-0100-000004000000}" name="In Calc?"/>
  </tableColumns>
  <tableStyleInfo name="Workbench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ayment_Schedule_Tracker" displayName="Payment_Schedule_Tracker" ref="A1:E86">
  <tableColumns count="5">
    <tableColumn id="1" xr3:uid="{00000000-0010-0000-0200-000001000000}" name="Name"/>
    <tableColumn id="2" xr3:uid="{00000000-0010-0000-0200-000002000000}" name="Amount"/>
    <tableColumn id="3" xr3:uid="{00000000-0010-0000-0200-000003000000}" name="Frequency"/>
    <tableColumn id="4" xr3:uid="{00000000-0010-0000-0200-000004000000}" name="Next Due"/>
    <tableColumn id="5" xr3:uid="{00000000-0010-0000-0200-000005000000}" name="Last Paid"/>
  </tableColumns>
  <tableStyleInfo name="Bill Schedule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2" displayName="Table2" ref="A5:D33">
  <tableColumns count="4">
    <tableColumn id="1" xr3:uid="{00000000-0010-0000-0300-000001000000}" name="Description"/>
    <tableColumn id="2" xr3:uid="{00000000-0010-0000-0300-000002000000}" name="Amount"/>
    <tableColumn id="3" xr3:uid="{00000000-0010-0000-0300-000003000000}" name="Due Date"/>
    <tableColumn id="4" xr3:uid="{00000000-0010-0000-0300-000004000000}" name="In Calc?"/>
  </tableColumns>
  <tableStyleInfo name="CC - CMW (3619)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4" displayName="Table4" ref="A5:D33">
  <tableColumns count="4">
    <tableColumn id="1" xr3:uid="{00000000-0010-0000-0400-000001000000}" name="Description"/>
    <tableColumn id="2" xr3:uid="{00000000-0010-0000-0400-000002000000}" name="Amount"/>
    <tableColumn id="3" xr3:uid="{00000000-0010-0000-0400-000003000000}" name="Due Date"/>
    <tableColumn id="4" xr3:uid="{00000000-0010-0000-0400-000004000000}" name="In Calc?"/>
  </tableColumns>
  <tableStyleInfo name="CC - JGW (9299)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5" displayName="Table5" ref="A5:D33">
  <tableColumns count="4">
    <tableColumn id="1" xr3:uid="{00000000-0010-0000-0500-000001000000}" name="Description"/>
    <tableColumn id="2" xr3:uid="{00000000-0010-0000-0500-000002000000}" name="Amount"/>
    <tableColumn id="3" xr3:uid="{00000000-0010-0000-0500-000003000000}" name="Due Date"/>
    <tableColumn id="4" xr3:uid="{00000000-0010-0000-0500-000004000000}" name="In Calc?"/>
  </tableColumns>
  <tableStyleInfo name="CC - SAMS (1261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potify.com/us/account/overview/?utm_source=spotify&amp;utm_medium=menu&amp;utm_campaign=your_account" TargetMode="External"/><Relationship Id="rId13" Type="http://schemas.openxmlformats.org/officeDocument/2006/relationships/hyperlink" Target="https://www.osfmychart.org/OSFMyChart/billing/guestpay/payasguest" TargetMode="External"/><Relationship Id="rId18" Type="http://schemas.openxmlformats.org/officeDocument/2006/relationships/hyperlink" Target="http://topteacher.com/" TargetMode="External"/><Relationship Id="rId3" Type="http://schemas.openxmlformats.org/officeDocument/2006/relationships/hyperlink" Target="https://www.ameren.com/" TargetMode="External"/><Relationship Id="rId7" Type="http://schemas.openxmlformats.org/officeDocument/2006/relationships/hyperlink" Target="https://account.microsoft.com/services?fref=home.drawers.subscriptions.view-all-subscriptions" TargetMode="External"/><Relationship Id="rId12" Type="http://schemas.openxmlformats.org/officeDocument/2006/relationships/hyperlink" Target="https://mycube.cubesmart.com/" TargetMode="External"/><Relationship Id="rId17" Type="http://schemas.openxmlformats.org/officeDocument/2006/relationships/hyperlink" Target="https://www.netflix.com/account" TargetMode="External"/><Relationship Id="rId2" Type="http://schemas.openxmlformats.org/officeDocument/2006/relationships/hyperlink" Target="https://online.factsmgt.com/consumer-link/W6GMD99/249219337/MakeAPayment/298818470/?cid=724155333&amp;nbsts=638985238579975744&amp;sig=433N6V4E273A93W235U1B12311S6B4X246M13922KG5V4N2W662X2S3B3F2T" TargetMode="External"/><Relationship Id="rId16" Type="http://schemas.openxmlformats.org/officeDocument/2006/relationships/hyperlink" Target="https://www.samsclub.com/" TargetMode="External"/><Relationship Id="rId20" Type="http://schemas.openxmlformats.org/officeDocument/2006/relationships/table" Target="../tables/table3.xml"/><Relationship Id="rId1" Type="http://schemas.openxmlformats.org/officeDocument/2006/relationships/hyperlink" Target="https://www3.mtb.com/homepage/log-in" TargetMode="External"/><Relationship Id="rId6" Type="http://schemas.openxmlformats.org/officeDocument/2006/relationships/hyperlink" Target="https://signin.travelers.com/" TargetMode="External"/><Relationship Id="rId11" Type="http://schemas.openxmlformats.org/officeDocument/2006/relationships/hyperlink" Target="https://account.apple.com/account/manage" TargetMode="External"/><Relationship Id="rId5" Type="http://schemas.openxmlformats.org/officeDocument/2006/relationships/hyperlink" Target="https://account.t-mobile.com/signin/v2/?redirect_uri=https:%2F%2Fprepaid.t-mobile.com&amp;access_type=ONLINE&amp;response_type=code&amp;approval_prompt=auto&amp;scope=TMO_ID_profile%2520associated_lines%2520associated_customers%2520associated_billing_accounts%2520line_ad" TargetMode="External"/><Relationship Id="rId15" Type="http://schemas.openxmlformats.org/officeDocument/2006/relationships/hyperlink" Target="https://webpay.1tech.net/GPSD/" TargetMode="External"/><Relationship Id="rId10" Type="http://schemas.openxmlformats.org/officeDocument/2006/relationships/hyperlink" Target="https://account.apple.com/account/manage" TargetMode="External"/><Relationship Id="rId19" Type="http://schemas.openxmlformats.org/officeDocument/2006/relationships/hyperlink" Target="http://otter.ai/" TargetMode="External"/><Relationship Id="rId4" Type="http://schemas.openxmlformats.org/officeDocument/2006/relationships/hyperlink" Target="https://mywaterv2.amwater.com/" TargetMode="External"/><Relationship Id="rId9" Type="http://schemas.openxmlformats.org/officeDocument/2006/relationships/hyperlink" Target="https://www.i3broadband.com/my-account/" TargetMode="External"/><Relationship Id="rId14" Type="http://schemas.openxmlformats.org/officeDocument/2006/relationships/hyperlink" Target="https://peoriail.municipalonlinepayments.com/peoriail/utilitie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zoomScale="189" workbookViewId="0">
      <pane ySplit="1" topLeftCell="A2" activePane="bottomLeft" state="frozen"/>
      <selection pane="bottomLeft" activeCell="D4" sqref="D4"/>
    </sheetView>
  </sheetViews>
  <sheetFormatPr baseColWidth="10" defaultColWidth="14.5" defaultRowHeight="15" customHeight="1" x14ac:dyDescent="0.2"/>
  <cols>
    <col min="1" max="1" width="29.1640625" customWidth="1"/>
    <col min="2" max="2" width="17.5" customWidth="1"/>
    <col min="3" max="3" width="14.5" customWidth="1"/>
    <col min="4" max="4" width="31.33203125" customWidth="1"/>
    <col min="5" max="5" width="4.1640625" customWidth="1"/>
    <col min="6" max="6" width="21" customWidth="1"/>
    <col min="7" max="7" width="17.5" customWidth="1"/>
    <col min="8" max="8" width="18.5" customWidth="1"/>
    <col min="9" max="9" width="21" customWidth="1"/>
    <col min="10" max="26" width="8.6640625" customWidth="1"/>
  </cols>
  <sheetData>
    <row r="1" spans="1:9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I1" s="2"/>
    </row>
    <row r="2" spans="1:9" ht="22.5" customHeight="1" x14ac:dyDescent="0.2">
      <c r="A2" s="3" t="s">
        <v>4</v>
      </c>
      <c r="B2" s="4">
        <v>1827.6</v>
      </c>
      <c r="C2" s="3" t="s">
        <v>5</v>
      </c>
      <c r="D2" s="3" t="b">
        <v>1</v>
      </c>
      <c r="I2" s="2"/>
    </row>
    <row r="3" spans="1:9" ht="22.5" customHeight="1" x14ac:dyDescent="0.2">
      <c r="A3" s="3" t="s">
        <v>6</v>
      </c>
      <c r="B3" s="4">
        <v>2277.3000000000002</v>
      </c>
      <c r="C3" s="3" t="s">
        <v>5</v>
      </c>
      <c r="D3" s="3"/>
      <c r="I3" s="5"/>
    </row>
    <row r="4" spans="1:9" ht="22.5" customHeight="1" x14ac:dyDescent="0.2">
      <c r="A4" s="3" t="s">
        <v>7</v>
      </c>
      <c r="B4" s="4">
        <v>1289.51</v>
      </c>
      <c r="C4" s="3" t="s">
        <v>5</v>
      </c>
      <c r="D4" s="3"/>
    </row>
    <row r="5" spans="1:9" ht="22.5" customHeight="1" x14ac:dyDescent="0.2">
      <c r="A5" s="3" t="s">
        <v>8</v>
      </c>
      <c r="B5" s="4">
        <v>130</v>
      </c>
      <c r="C5" s="3" t="s">
        <v>5</v>
      </c>
      <c r="D5" s="3"/>
      <c r="I5" s="2"/>
    </row>
    <row r="6" spans="1:9" ht="22.5" customHeight="1" x14ac:dyDescent="0.2">
      <c r="A6" s="3" t="s">
        <v>9</v>
      </c>
      <c r="B6" s="4">
        <v>1016.97</v>
      </c>
      <c r="C6" s="3" t="s">
        <v>10</v>
      </c>
      <c r="D6" s="3"/>
      <c r="I6" s="2"/>
    </row>
    <row r="7" spans="1:9" ht="22.5" customHeight="1" x14ac:dyDescent="0.2">
      <c r="A7" s="3" t="s">
        <v>11</v>
      </c>
      <c r="B7" s="4">
        <v>226.36</v>
      </c>
      <c r="C7" s="3" t="s">
        <v>10</v>
      </c>
      <c r="D7" s="3"/>
      <c r="I7" s="2"/>
    </row>
    <row r="8" spans="1:9" ht="22.5" customHeight="1" x14ac:dyDescent="0.2">
      <c r="A8" s="3" t="s">
        <v>12</v>
      </c>
      <c r="B8" s="4">
        <v>0</v>
      </c>
      <c r="C8" s="3" t="s">
        <v>10</v>
      </c>
      <c r="D8" s="3"/>
      <c r="I8" s="2"/>
    </row>
    <row r="9" spans="1:9" ht="22.5" customHeight="1" x14ac:dyDescent="0.2">
      <c r="A9" s="3" t="s">
        <v>13</v>
      </c>
      <c r="B9" s="4">
        <v>3557.5</v>
      </c>
      <c r="C9" s="3" t="s">
        <v>5</v>
      </c>
      <c r="D9" s="3"/>
      <c r="I9" s="2"/>
    </row>
    <row r="10" spans="1:9" ht="22.5" customHeight="1" x14ac:dyDescent="0.2">
      <c r="A10" s="3" t="s">
        <v>14</v>
      </c>
      <c r="B10" s="4">
        <v>769.31</v>
      </c>
      <c r="C10" s="3" t="s">
        <v>5</v>
      </c>
      <c r="D10" s="3"/>
      <c r="I10" s="2"/>
    </row>
    <row r="11" spans="1:9" ht="22.5" customHeight="1" x14ac:dyDescent="0.2">
      <c r="A11" s="3" t="s">
        <v>15</v>
      </c>
      <c r="B11" s="4"/>
      <c r="C11" s="3" t="s">
        <v>5</v>
      </c>
      <c r="D11" s="3"/>
      <c r="I11" s="2"/>
    </row>
    <row r="12" spans="1:9" ht="22.5" customHeight="1" x14ac:dyDescent="0.2">
      <c r="A12" s="3" t="s">
        <v>16</v>
      </c>
      <c r="B12" s="4"/>
      <c r="C12" s="3" t="s">
        <v>5</v>
      </c>
      <c r="D12" s="3"/>
      <c r="I12" s="2"/>
    </row>
    <row r="13" spans="1:9" x14ac:dyDescent="0.2">
      <c r="B13" s="6"/>
      <c r="C13" s="2"/>
      <c r="D13" s="2"/>
      <c r="I13" s="2"/>
    </row>
    <row r="14" spans="1:9" ht="16" x14ac:dyDescent="0.2">
      <c r="A14" s="7" t="s">
        <v>17</v>
      </c>
      <c r="B14" s="8">
        <f>SUMIFS(B2:B105,C2:C105,"Asset")</f>
        <v>9851.2199999999993</v>
      </c>
      <c r="C14" s="2"/>
      <c r="D14" s="2"/>
      <c r="I14" s="2"/>
    </row>
    <row r="15" spans="1:9" ht="16" x14ac:dyDescent="0.2">
      <c r="A15" s="7" t="s">
        <v>18</v>
      </c>
      <c r="B15" s="8">
        <f>SUMIFS(B2:B105,C2:C105,"Liability")</f>
        <v>1243.33</v>
      </c>
      <c r="C15" s="2"/>
      <c r="D15" s="2"/>
      <c r="I15" s="2"/>
    </row>
    <row r="16" spans="1:9" ht="19" x14ac:dyDescent="0.25">
      <c r="A16" s="9" t="s">
        <v>19</v>
      </c>
      <c r="B16" s="10">
        <f>B14-B15</f>
        <v>8607.89</v>
      </c>
      <c r="C16" s="2"/>
      <c r="D16" s="2"/>
      <c r="I16" s="2"/>
    </row>
    <row r="17" spans="1:9" x14ac:dyDescent="0.2">
      <c r="B17" s="6"/>
      <c r="C17" s="2"/>
      <c r="D17" s="2"/>
      <c r="I17" s="2"/>
    </row>
    <row r="18" spans="1:9" ht="16" x14ac:dyDescent="0.2">
      <c r="A18" s="27" t="s">
        <v>135</v>
      </c>
      <c r="B18" s="11">
        <f>SUMIFS(B2:B105,C2:C105,"Asset",D2:D105,TRUE)-SUMIFS(B2:B105,C2:C105,"Liability",D2:D105,TRUE)</f>
        <v>1827.6</v>
      </c>
      <c r="C18" s="2"/>
      <c r="D18" s="2"/>
      <c r="I18" s="2"/>
    </row>
    <row r="19" spans="1:9" x14ac:dyDescent="0.2">
      <c r="B19" s="6"/>
      <c r="C19" s="2"/>
      <c r="D19" s="2"/>
      <c r="I19" s="2"/>
    </row>
    <row r="20" spans="1:9" x14ac:dyDescent="0.2">
      <c r="B20" s="6"/>
      <c r="C20" s="2"/>
      <c r="D20" s="2"/>
      <c r="I20" s="2"/>
    </row>
    <row r="21" spans="1:9" ht="15.75" customHeight="1" x14ac:dyDescent="0.2">
      <c r="B21" s="6"/>
      <c r="C21" s="2"/>
      <c r="D21" s="2"/>
      <c r="I21" s="2"/>
    </row>
    <row r="22" spans="1:9" ht="15.75" customHeight="1" x14ac:dyDescent="0.2">
      <c r="B22" s="6"/>
      <c r="C22" s="2"/>
      <c r="D22" s="2"/>
      <c r="I22" s="2"/>
    </row>
    <row r="23" spans="1:9" ht="15.75" customHeight="1" x14ac:dyDescent="0.2">
      <c r="C23" s="2"/>
      <c r="D23" s="2"/>
      <c r="I23" s="2"/>
    </row>
    <row r="24" spans="1:9" ht="15.75" customHeight="1" x14ac:dyDescent="0.2">
      <c r="C24" s="2"/>
      <c r="D24" s="2"/>
      <c r="F24" s="2"/>
      <c r="G24" s="2"/>
      <c r="H24" s="2"/>
      <c r="I24" s="2"/>
    </row>
    <row r="25" spans="1:9" ht="15.75" customHeight="1" x14ac:dyDescent="0.2">
      <c r="C25" s="2"/>
      <c r="D25" s="2"/>
      <c r="F25" s="2"/>
      <c r="G25" s="2"/>
      <c r="H25" s="2"/>
      <c r="I25" s="2"/>
    </row>
    <row r="26" spans="1:9" ht="15.75" customHeight="1" x14ac:dyDescent="0.2">
      <c r="C26" s="2"/>
      <c r="D26" s="2"/>
      <c r="F26" s="2"/>
      <c r="G26" s="2"/>
      <c r="H26" s="2"/>
      <c r="I26" s="2"/>
    </row>
    <row r="27" spans="1:9" ht="15.75" customHeight="1" x14ac:dyDescent="0.2">
      <c r="C27" s="2"/>
      <c r="D27" s="2"/>
      <c r="F27" s="2"/>
      <c r="G27" s="2"/>
      <c r="H27" s="2"/>
      <c r="I27" s="2"/>
    </row>
    <row r="28" spans="1:9" ht="15.75" customHeight="1" x14ac:dyDescent="0.2">
      <c r="C28" s="2"/>
      <c r="D28" s="2"/>
      <c r="F28" s="2"/>
      <c r="G28" s="2"/>
      <c r="H28" s="2"/>
      <c r="I28" s="2"/>
    </row>
    <row r="29" spans="1:9" ht="15.75" customHeight="1" x14ac:dyDescent="0.2">
      <c r="C29" s="2"/>
      <c r="D29" s="2"/>
      <c r="F29" s="2"/>
      <c r="G29" s="2"/>
      <c r="H29" s="2"/>
      <c r="I29" s="2"/>
    </row>
    <row r="30" spans="1:9" ht="15.75" customHeight="1" x14ac:dyDescent="0.2">
      <c r="C30" s="2"/>
      <c r="D30" s="2"/>
      <c r="F30" s="2"/>
      <c r="G30" s="2"/>
      <c r="H30" s="2"/>
      <c r="I30" s="2"/>
    </row>
    <row r="31" spans="1:9" ht="15.75" customHeight="1" x14ac:dyDescent="0.2">
      <c r="C31" s="2"/>
      <c r="D31" s="2"/>
      <c r="F31" s="2"/>
      <c r="G31" s="2"/>
      <c r="H31" s="2"/>
      <c r="I31" s="2"/>
    </row>
    <row r="32" spans="1:9" ht="15.75" customHeight="1" x14ac:dyDescent="0.2">
      <c r="C32" s="2"/>
      <c r="D32" s="2"/>
      <c r="F32" s="2"/>
      <c r="G32" s="2"/>
      <c r="H32" s="2"/>
      <c r="I32" s="2"/>
    </row>
    <row r="33" spans="3:9" ht="15.75" customHeight="1" x14ac:dyDescent="0.2">
      <c r="C33" s="2"/>
      <c r="D33" s="2"/>
      <c r="F33" s="2"/>
      <c r="G33" s="2"/>
      <c r="H33" s="2"/>
      <c r="I33" s="2"/>
    </row>
    <row r="34" spans="3:9" ht="15.75" customHeight="1" x14ac:dyDescent="0.2">
      <c r="C34" s="2"/>
      <c r="D34" s="2"/>
      <c r="F34" s="2"/>
      <c r="G34" s="2"/>
      <c r="H34" s="2"/>
      <c r="I34" s="2"/>
    </row>
    <row r="35" spans="3:9" ht="15.75" customHeight="1" x14ac:dyDescent="0.2">
      <c r="C35" s="2"/>
      <c r="D35" s="2"/>
      <c r="F35" s="2"/>
      <c r="G35" s="2"/>
      <c r="H35" s="2"/>
      <c r="I35" s="2"/>
    </row>
    <row r="36" spans="3:9" ht="15.75" customHeight="1" x14ac:dyDescent="0.2">
      <c r="C36" s="2"/>
      <c r="D36" s="2"/>
      <c r="F36" s="2"/>
      <c r="G36" s="2"/>
      <c r="H36" s="2"/>
      <c r="I36" s="2"/>
    </row>
    <row r="37" spans="3:9" ht="15.75" customHeight="1" x14ac:dyDescent="0.2">
      <c r="C37" s="2"/>
      <c r="D37" s="2"/>
      <c r="F37" s="2"/>
      <c r="G37" s="2"/>
      <c r="H37" s="2"/>
      <c r="I37" s="2"/>
    </row>
    <row r="38" spans="3:9" ht="15.75" customHeight="1" x14ac:dyDescent="0.2">
      <c r="C38" s="2"/>
      <c r="D38" s="2"/>
      <c r="F38" s="2"/>
      <c r="G38" s="2"/>
      <c r="H38" s="2"/>
      <c r="I38" s="2"/>
    </row>
    <row r="39" spans="3:9" ht="15.75" customHeight="1" x14ac:dyDescent="0.2">
      <c r="C39" s="2"/>
      <c r="D39" s="2"/>
    </row>
    <row r="40" spans="3:9" ht="15.75" customHeight="1" x14ac:dyDescent="0.2">
      <c r="C40" s="2"/>
      <c r="D40" s="2"/>
    </row>
    <row r="41" spans="3:9" ht="15.75" customHeight="1" x14ac:dyDescent="0.2">
      <c r="C41" s="2"/>
      <c r="D41" s="2"/>
    </row>
    <row r="42" spans="3:9" ht="15.75" customHeight="1" x14ac:dyDescent="0.2">
      <c r="C42" s="2"/>
      <c r="D42" s="2"/>
    </row>
    <row r="43" spans="3:9" ht="15.75" customHeight="1" x14ac:dyDescent="0.2">
      <c r="C43" s="2"/>
      <c r="D43" s="2"/>
    </row>
    <row r="44" spans="3:9" ht="15.75" customHeight="1" x14ac:dyDescent="0.2">
      <c r="C44" s="2"/>
      <c r="D44" s="2"/>
    </row>
    <row r="45" spans="3:9" ht="15.75" customHeight="1" x14ac:dyDescent="0.2">
      <c r="C45" s="2"/>
      <c r="D45" s="2"/>
    </row>
    <row r="46" spans="3:9" ht="15.75" customHeight="1" x14ac:dyDescent="0.2">
      <c r="C46" s="2"/>
      <c r="D46" s="2"/>
    </row>
    <row r="47" spans="3:9" ht="15.75" customHeight="1" x14ac:dyDescent="0.2">
      <c r="C47" s="2"/>
      <c r="D47" s="2"/>
    </row>
    <row r="48" spans="3:9" ht="15.75" customHeight="1" x14ac:dyDescent="0.2">
      <c r="C48" s="2"/>
      <c r="D48" s="2"/>
    </row>
    <row r="49" spans="3:4" ht="15.75" customHeight="1" x14ac:dyDescent="0.2">
      <c r="C49" s="2"/>
      <c r="D49" s="2"/>
    </row>
    <row r="50" spans="3:4" ht="15.75" customHeight="1" x14ac:dyDescent="0.2">
      <c r="C50" s="2"/>
      <c r="D50" s="2"/>
    </row>
    <row r="51" spans="3:4" ht="15.75" customHeight="1" x14ac:dyDescent="0.2">
      <c r="C51" s="2"/>
      <c r="D51" s="2"/>
    </row>
    <row r="52" spans="3:4" ht="15.75" customHeight="1" x14ac:dyDescent="0.2">
      <c r="C52" s="2"/>
      <c r="D52" s="2"/>
    </row>
    <row r="53" spans="3:4" ht="15.75" customHeight="1" x14ac:dyDescent="0.2">
      <c r="C53" s="2"/>
      <c r="D53" s="2"/>
    </row>
    <row r="54" spans="3:4" ht="15.75" customHeight="1" x14ac:dyDescent="0.2">
      <c r="C54" s="2"/>
      <c r="D54" s="2"/>
    </row>
    <row r="55" spans="3:4" ht="15.75" customHeight="1" x14ac:dyDescent="0.2">
      <c r="C55" s="2"/>
      <c r="D55" s="2"/>
    </row>
    <row r="56" spans="3:4" ht="15.75" customHeight="1" x14ac:dyDescent="0.2">
      <c r="C56" s="2"/>
      <c r="D56" s="2"/>
    </row>
    <row r="57" spans="3:4" ht="15.75" customHeight="1" x14ac:dyDescent="0.2">
      <c r="C57" s="2"/>
      <c r="D57" s="2"/>
    </row>
    <row r="58" spans="3:4" ht="15.75" customHeight="1" x14ac:dyDescent="0.2">
      <c r="C58" s="2"/>
      <c r="D58" s="2"/>
    </row>
    <row r="59" spans="3:4" ht="15.75" customHeight="1" x14ac:dyDescent="0.2">
      <c r="C59" s="2"/>
      <c r="D59" s="2"/>
    </row>
    <row r="60" spans="3:4" ht="15.75" customHeight="1" x14ac:dyDescent="0.2">
      <c r="C60" s="2"/>
      <c r="D60" s="2"/>
    </row>
    <row r="61" spans="3:4" ht="15.75" customHeight="1" x14ac:dyDescent="0.2">
      <c r="C61" s="2"/>
      <c r="D61" s="2"/>
    </row>
    <row r="62" spans="3:4" ht="15.75" customHeight="1" x14ac:dyDescent="0.2">
      <c r="C62" s="2"/>
      <c r="D62" s="2"/>
    </row>
    <row r="63" spans="3:4" ht="15.75" customHeight="1" x14ac:dyDescent="0.2">
      <c r="C63" s="2"/>
      <c r="D63" s="2"/>
    </row>
    <row r="64" spans="3:4" ht="15.75" customHeight="1" x14ac:dyDescent="0.2">
      <c r="C64" s="2"/>
      <c r="D64" s="2"/>
    </row>
    <row r="65" spans="3:4" ht="15.75" customHeight="1" x14ac:dyDescent="0.2">
      <c r="C65" s="2"/>
      <c r="D65" s="2"/>
    </row>
    <row r="66" spans="3:4" ht="15.75" customHeight="1" x14ac:dyDescent="0.2">
      <c r="C66" s="2"/>
      <c r="D66" s="2"/>
    </row>
    <row r="67" spans="3:4" ht="15.75" customHeight="1" x14ac:dyDescent="0.2">
      <c r="C67" s="2"/>
      <c r="D67" s="2"/>
    </row>
    <row r="68" spans="3:4" ht="15.75" customHeight="1" x14ac:dyDescent="0.2">
      <c r="C68" s="2"/>
      <c r="D68" s="2"/>
    </row>
    <row r="69" spans="3:4" ht="15.75" customHeight="1" x14ac:dyDescent="0.2">
      <c r="C69" s="2"/>
      <c r="D69" s="2"/>
    </row>
    <row r="70" spans="3:4" ht="15.75" customHeight="1" x14ac:dyDescent="0.2">
      <c r="C70" s="2"/>
      <c r="D70" s="2"/>
    </row>
    <row r="71" spans="3:4" ht="15.75" customHeight="1" x14ac:dyDescent="0.2">
      <c r="C71" s="2"/>
      <c r="D71" s="2"/>
    </row>
    <row r="72" spans="3:4" ht="15.75" customHeight="1" x14ac:dyDescent="0.2">
      <c r="C72" s="2"/>
      <c r="D72" s="2"/>
    </row>
    <row r="73" spans="3:4" ht="15.75" customHeight="1" x14ac:dyDescent="0.2">
      <c r="C73" s="2"/>
      <c r="D73" s="2"/>
    </row>
    <row r="74" spans="3:4" ht="15.75" customHeight="1" x14ac:dyDescent="0.2">
      <c r="C74" s="2"/>
      <c r="D74" s="2"/>
    </row>
    <row r="75" spans="3:4" ht="15.75" customHeight="1" x14ac:dyDescent="0.2">
      <c r="C75" s="2"/>
      <c r="D75" s="2"/>
    </row>
    <row r="76" spans="3:4" ht="15.75" customHeight="1" x14ac:dyDescent="0.2">
      <c r="C76" s="2"/>
      <c r="D76" s="2"/>
    </row>
    <row r="77" spans="3:4" ht="15.75" customHeight="1" x14ac:dyDescent="0.2">
      <c r="C77" s="2"/>
      <c r="D77" s="2"/>
    </row>
    <row r="78" spans="3:4" ht="15.75" customHeight="1" x14ac:dyDescent="0.2">
      <c r="C78" s="2"/>
      <c r="D78" s="2"/>
    </row>
    <row r="79" spans="3:4" ht="15.75" customHeight="1" x14ac:dyDescent="0.2">
      <c r="C79" s="2"/>
      <c r="D79" s="2"/>
    </row>
    <row r="80" spans="3:4" ht="15.75" customHeight="1" x14ac:dyDescent="0.2">
      <c r="C80" s="2"/>
      <c r="D80" s="2"/>
    </row>
    <row r="81" spans="3:4" ht="15.75" customHeight="1" x14ac:dyDescent="0.2">
      <c r="C81" s="2"/>
      <c r="D81" s="2"/>
    </row>
    <row r="82" spans="3:4" ht="15.75" customHeight="1" x14ac:dyDescent="0.2">
      <c r="C82" s="2"/>
      <c r="D82" s="2"/>
    </row>
    <row r="83" spans="3:4" ht="15.75" customHeight="1" x14ac:dyDescent="0.2">
      <c r="C83" s="2"/>
      <c r="D83" s="2"/>
    </row>
    <row r="84" spans="3:4" ht="15.75" customHeight="1" x14ac:dyDescent="0.2">
      <c r="C84" s="2"/>
      <c r="D84" s="2"/>
    </row>
    <row r="85" spans="3:4" ht="15.75" customHeight="1" x14ac:dyDescent="0.2">
      <c r="C85" s="2"/>
      <c r="D85" s="2"/>
    </row>
    <row r="86" spans="3:4" ht="15.75" customHeight="1" x14ac:dyDescent="0.2">
      <c r="C86" s="2"/>
      <c r="D86" s="2"/>
    </row>
    <row r="87" spans="3:4" ht="15.75" customHeight="1" x14ac:dyDescent="0.2">
      <c r="C87" s="2"/>
      <c r="D87" s="2"/>
    </row>
    <row r="88" spans="3:4" ht="15.75" customHeight="1" x14ac:dyDescent="0.2">
      <c r="C88" s="2"/>
      <c r="D88" s="2"/>
    </row>
    <row r="89" spans="3:4" ht="15.75" customHeight="1" x14ac:dyDescent="0.2">
      <c r="C89" s="2"/>
      <c r="D89" s="2"/>
    </row>
    <row r="90" spans="3:4" ht="15.75" customHeight="1" x14ac:dyDescent="0.2">
      <c r="C90" s="2"/>
      <c r="D90" s="2"/>
    </row>
    <row r="91" spans="3:4" ht="15.75" customHeight="1" x14ac:dyDescent="0.2">
      <c r="C91" s="2"/>
      <c r="D91" s="2"/>
    </row>
    <row r="92" spans="3:4" ht="15.75" customHeight="1" x14ac:dyDescent="0.2">
      <c r="C92" s="2"/>
      <c r="D92" s="2"/>
    </row>
    <row r="93" spans="3:4" ht="15.75" customHeight="1" x14ac:dyDescent="0.2">
      <c r="C93" s="2"/>
      <c r="D93" s="2"/>
    </row>
    <row r="94" spans="3:4" ht="15.75" customHeight="1" x14ac:dyDescent="0.2">
      <c r="C94" s="2"/>
      <c r="D94" s="2"/>
    </row>
    <row r="95" spans="3:4" ht="15.75" customHeight="1" x14ac:dyDescent="0.2">
      <c r="C95" s="2"/>
      <c r="D95" s="2"/>
    </row>
    <row r="96" spans="3:4" ht="15.75" customHeight="1" x14ac:dyDescent="0.2">
      <c r="C96" s="2"/>
      <c r="D96" s="2"/>
    </row>
    <row r="97" spans="3:4" ht="15.75" customHeight="1" x14ac:dyDescent="0.2">
      <c r="C97" s="2"/>
      <c r="D97" s="2"/>
    </row>
    <row r="98" spans="3:4" ht="15.75" customHeight="1" x14ac:dyDescent="0.2">
      <c r="C98" s="2"/>
      <c r="D98" s="2"/>
    </row>
    <row r="99" spans="3:4" ht="15.75" customHeight="1" x14ac:dyDescent="0.2">
      <c r="C99" s="2"/>
      <c r="D99" s="2"/>
    </row>
    <row r="100" spans="3:4" ht="15.75" customHeight="1" x14ac:dyDescent="0.2">
      <c r="C100" s="2"/>
      <c r="D100" s="2"/>
    </row>
    <row r="101" spans="3:4" ht="15.75" customHeight="1" x14ac:dyDescent="0.2">
      <c r="C101" s="2"/>
      <c r="D101" s="2"/>
    </row>
    <row r="102" spans="3:4" ht="15.75" customHeight="1" x14ac:dyDescent="0.2">
      <c r="C102" s="2"/>
      <c r="D102" s="2"/>
    </row>
    <row r="103" spans="3:4" ht="15.75" customHeight="1" x14ac:dyDescent="0.2">
      <c r="C103" s="2"/>
      <c r="D103" s="2"/>
    </row>
    <row r="104" spans="3:4" ht="15.75" customHeight="1" x14ac:dyDescent="0.2">
      <c r="C104" s="2"/>
      <c r="D104" s="2"/>
    </row>
    <row r="105" spans="3:4" ht="15.75" customHeight="1" x14ac:dyDescent="0.2">
      <c r="C105" s="2"/>
      <c r="D105" s="2"/>
    </row>
    <row r="106" spans="3:4" ht="15.75" customHeight="1" x14ac:dyDescent="0.2"/>
    <row r="107" spans="3:4" ht="15.75" customHeight="1" x14ac:dyDescent="0.2"/>
    <row r="108" spans="3:4" ht="15.75" customHeight="1" x14ac:dyDescent="0.2"/>
    <row r="109" spans="3:4" ht="15.75" customHeight="1" x14ac:dyDescent="0.2"/>
    <row r="110" spans="3:4" ht="15.75" customHeight="1" x14ac:dyDescent="0.2"/>
    <row r="111" spans="3:4" ht="15.75" customHeight="1" x14ac:dyDescent="0.2"/>
    <row r="112" spans="3:4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A2:D12">
    <cfRule type="expression" dxfId="3" priority="1">
      <formula>$D2=TRUE</formula>
    </cfRule>
  </conditionalFormatting>
  <conditionalFormatting sqref="I21">
    <cfRule type="notContainsBlanks" dxfId="2" priority="2">
      <formula>LEN(TRIM(I21))&gt;0</formula>
    </cfRule>
  </conditionalFormatting>
  <dataValidations count="3">
    <dataValidation type="list" allowBlank="1" sqref="C2:C105" xr:uid="{00000000-0002-0000-0000-000000000000}">
      <formula1>"Asset,Liability"</formula1>
    </dataValidation>
    <dataValidation type="custom" allowBlank="1" showDropDown="1" sqref="B2:B12" xr:uid="{00000000-0002-0000-0000-000002000000}">
      <formula1>AND(ISNUMBER(B2),(NOT(OR(NOT(ISERROR(DATEVALUE(B2))), AND(ISNUMBER(B2), LEFT(CELL("format", B2))="D")))))</formula1>
    </dataValidation>
    <dataValidation type="list" allowBlank="1" sqref="D2:D105" xr:uid="{00000000-0002-0000-0000-000003000000}">
      <formula1>"TRUE,FALSE"</formula1>
    </dataValidation>
  </dataValidations>
  <pageMargins left="0.75" right="0.75" top="1" bottom="1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38"/>
  <sheetViews>
    <sheetView zoomScale="150" workbookViewId="0">
      <selection activeCell="E8" sqref="E8"/>
    </sheetView>
  </sheetViews>
  <sheetFormatPr baseColWidth="10" defaultColWidth="14.5" defaultRowHeight="15" customHeight="1" x14ac:dyDescent="0.2"/>
  <cols>
    <col min="1" max="1" width="21" customWidth="1"/>
    <col min="2" max="2" width="17.5" customWidth="1"/>
    <col min="3" max="3" width="18.5" customWidth="1"/>
    <col min="4" max="4" width="13.5" customWidth="1"/>
  </cols>
  <sheetData>
    <row r="1" spans="1:4" ht="21" x14ac:dyDescent="0.25">
      <c r="A1" s="22" t="s">
        <v>20</v>
      </c>
      <c r="B1" s="23"/>
      <c r="C1" s="23"/>
      <c r="D1" s="23"/>
    </row>
    <row r="2" spans="1:4" x14ac:dyDescent="0.2">
      <c r="A2" s="12" t="s">
        <v>21</v>
      </c>
      <c r="B2" s="12" t="s">
        <v>22</v>
      </c>
      <c r="C2" s="12" t="s">
        <v>23</v>
      </c>
      <c r="D2" s="12" t="s">
        <v>24</v>
      </c>
    </row>
    <row r="3" spans="1:4" ht="19" x14ac:dyDescent="0.25">
      <c r="A3" s="13">
        <f>Accounts!$B18</f>
        <v>1827.6</v>
      </c>
      <c r="B3" s="14">
        <f>SUMPRODUCT((D6:D200=TRUE)*(B6:B200&gt;0)*B6:B200)</f>
        <v>60</v>
      </c>
      <c r="C3" s="15">
        <f>SUMPRODUCT((D6:D200=TRUE)*(B6:B200&lt;0)*B6:B200)</f>
        <v>-530</v>
      </c>
      <c r="D3" s="16">
        <f>A3+B3+C3</f>
        <v>1357.6</v>
      </c>
    </row>
    <row r="5" spans="1:4" ht="22.5" customHeight="1" x14ac:dyDescent="0.2">
      <c r="A5" s="17" t="s">
        <v>25</v>
      </c>
      <c r="B5" s="17" t="s">
        <v>26</v>
      </c>
      <c r="C5" s="17" t="s">
        <v>27</v>
      </c>
      <c r="D5" s="17" t="s">
        <v>28</v>
      </c>
    </row>
    <row r="6" spans="1:4" ht="22.5" customHeight="1" x14ac:dyDescent="0.2">
      <c r="A6" s="3" t="s">
        <v>29</v>
      </c>
      <c r="B6" s="4">
        <v>-400</v>
      </c>
      <c r="C6" s="18"/>
      <c r="D6" s="3" t="b">
        <v>1</v>
      </c>
    </row>
    <row r="7" spans="1:4" ht="22.5" customHeight="1" x14ac:dyDescent="0.2">
      <c r="A7" s="28" t="s">
        <v>136</v>
      </c>
      <c r="B7" s="4">
        <v>-130</v>
      </c>
      <c r="C7" s="18"/>
      <c r="D7" s="3" t="b">
        <v>1</v>
      </c>
    </row>
    <row r="8" spans="1:4" ht="22.5" customHeight="1" x14ac:dyDescent="0.2">
      <c r="A8" s="28" t="s">
        <v>137</v>
      </c>
      <c r="B8" s="4">
        <v>60</v>
      </c>
      <c r="C8" s="18"/>
      <c r="D8" s="3" t="b">
        <v>1</v>
      </c>
    </row>
    <row r="9" spans="1:4" ht="22.5" customHeight="1" x14ac:dyDescent="0.2">
      <c r="B9" s="4"/>
      <c r="C9" s="18"/>
      <c r="D9" s="3"/>
    </row>
    <row r="10" spans="1:4" ht="22.5" customHeight="1" x14ac:dyDescent="0.2">
      <c r="B10" s="4"/>
      <c r="C10" s="18"/>
      <c r="D10" s="3"/>
    </row>
    <row r="11" spans="1:4" ht="22.5" customHeight="1" x14ac:dyDescent="0.2">
      <c r="B11" s="4"/>
      <c r="C11" s="18"/>
      <c r="D11" s="3"/>
    </row>
    <row r="12" spans="1:4" ht="22.5" customHeight="1" x14ac:dyDescent="0.2">
      <c r="B12" s="4"/>
      <c r="C12" s="18"/>
      <c r="D12" s="3"/>
    </row>
    <row r="13" spans="1:4" ht="22.5" customHeight="1" x14ac:dyDescent="0.2">
      <c r="B13" s="4"/>
      <c r="C13" s="18"/>
      <c r="D13" s="3"/>
    </row>
    <row r="14" spans="1:4" ht="22.5" customHeight="1" x14ac:dyDescent="0.2">
      <c r="B14" s="4"/>
      <c r="C14" s="18"/>
      <c r="D14" s="3"/>
    </row>
    <row r="15" spans="1:4" ht="22.5" customHeight="1" x14ac:dyDescent="0.2">
      <c r="B15" s="4"/>
      <c r="C15" s="18"/>
      <c r="D15" s="3"/>
    </row>
    <row r="16" spans="1:4" ht="22.5" customHeight="1" x14ac:dyDescent="0.2">
      <c r="B16" s="4"/>
      <c r="C16" s="18"/>
      <c r="D16" s="3"/>
    </row>
    <row r="17" spans="2:4" ht="22.5" customHeight="1" x14ac:dyDescent="0.2">
      <c r="B17" s="4"/>
      <c r="C17" s="18"/>
      <c r="D17" s="3"/>
    </row>
    <row r="18" spans="2:4" ht="22.5" customHeight="1" x14ac:dyDescent="0.2">
      <c r="B18" s="4"/>
      <c r="C18" s="18"/>
      <c r="D18" s="3"/>
    </row>
    <row r="19" spans="2:4" ht="22.5" customHeight="1" x14ac:dyDescent="0.2">
      <c r="B19" s="4"/>
      <c r="C19" s="18"/>
      <c r="D19" s="3"/>
    </row>
    <row r="20" spans="2:4" ht="22.5" customHeight="1" x14ac:dyDescent="0.2">
      <c r="B20" s="4"/>
      <c r="C20" s="18"/>
      <c r="D20" s="3"/>
    </row>
    <row r="21" spans="2:4" ht="22.5" customHeight="1" x14ac:dyDescent="0.2">
      <c r="B21" s="4"/>
      <c r="C21" s="18"/>
      <c r="D21" s="3"/>
    </row>
    <row r="22" spans="2:4" ht="22.5" customHeight="1" x14ac:dyDescent="0.2">
      <c r="B22" s="4"/>
      <c r="C22" s="18"/>
      <c r="D22" s="3"/>
    </row>
    <row r="23" spans="2:4" ht="22.5" customHeight="1" x14ac:dyDescent="0.2">
      <c r="B23" s="4"/>
      <c r="C23" s="18"/>
      <c r="D23" s="3"/>
    </row>
    <row r="24" spans="2:4" ht="22.5" customHeight="1" x14ac:dyDescent="0.2">
      <c r="B24" s="4"/>
      <c r="C24" s="18"/>
      <c r="D24" s="3"/>
    </row>
    <row r="25" spans="2:4" ht="22.5" customHeight="1" x14ac:dyDescent="0.2">
      <c r="B25" s="4"/>
      <c r="C25" s="18"/>
      <c r="D25" s="3"/>
    </row>
    <row r="26" spans="2:4" ht="22.5" customHeight="1" x14ac:dyDescent="0.2">
      <c r="B26" s="4"/>
      <c r="C26" s="18"/>
      <c r="D26" s="3"/>
    </row>
    <row r="27" spans="2:4" ht="22.5" customHeight="1" x14ac:dyDescent="0.2">
      <c r="B27" s="4"/>
      <c r="C27" s="18"/>
      <c r="D27" s="3"/>
    </row>
    <row r="28" spans="2:4" ht="22.5" customHeight="1" x14ac:dyDescent="0.2">
      <c r="B28" s="4"/>
      <c r="C28" s="18"/>
      <c r="D28" s="3"/>
    </row>
    <row r="29" spans="2:4" ht="22.5" customHeight="1" x14ac:dyDescent="0.2">
      <c r="B29" s="4"/>
      <c r="C29" s="18"/>
      <c r="D29" s="3"/>
    </row>
    <row r="30" spans="2:4" ht="22.5" customHeight="1" x14ac:dyDescent="0.2">
      <c r="B30" s="4"/>
      <c r="C30" s="18"/>
      <c r="D30" s="3"/>
    </row>
    <row r="31" spans="2:4" ht="22.5" customHeight="1" x14ac:dyDescent="0.2">
      <c r="B31" s="4"/>
      <c r="C31" s="18"/>
      <c r="D31" s="3"/>
    </row>
    <row r="32" spans="2:4" ht="22.5" customHeight="1" x14ac:dyDescent="0.2">
      <c r="B32" s="4"/>
      <c r="C32" s="18"/>
      <c r="D32" s="3"/>
    </row>
    <row r="33" spans="2:4" ht="22.5" customHeight="1" x14ac:dyDescent="0.2">
      <c r="B33" s="4"/>
      <c r="C33" s="18"/>
      <c r="D33" s="3"/>
    </row>
    <row r="34" spans="2:4" ht="22.5" customHeight="1" x14ac:dyDescent="0.2">
      <c r="B34" s="4"/>
      <c r="C34" s="18"/>
      <c r="D34" s="3"/>
    </row>
    <row r="35" spans="2:4" ht="22.5" customHeight="1" x14ac:dyDescent="0.2">
      <c r="B35" s="4"/>
      <c r="C35" s="18"/>
      <c r="D35" s="3"/>
    </row>
    <row r="36" spans="2:4" ht="22.5" customHeight="1" x14ac:dyDescent="0.2">
      <c r="B36" s="4"/>
      <c r="C36" s="18"/>
      <c r="D36" s="3"/>
    </row>
    <row r="37" spans="2:4" ht="22.5" customHeight="1" x14ac:dyDescent="0.2">
      <c r="B37" s="4"/>
      <c r="C37" s="18"/>
      <c r="D37" s="3"/>
    </row>
    <row r="38" spans="2:4" ht="22.5" customHeight="1" x14ac:dyDescent="0.2">
      <c r="B38" s="4"/>
      <c r="C38" s="18"/>
      <c r="D38" s="3"/>
    </row>
  </sheetData>
  <mergeCells count="1">
    <mergeCell ref="A1:D1"/>
  </mergeCells>
  <conditionalFormatting sqref="A6:D38">
    <cfRule type="expression" dxfId="1" priority="1">
      <formula>$D6=TRUE</formula>
    </cfRule>
  </conditionalFormatting>
  <dataValidations count="3">
    <dataValidation type="custom" allowBlank="1" showDropDown="1" sqref="C6:C38" xr:uid="{00000000-0002-0000-0100-000000000000}">
      <formula1>OR(NOT(ISERROR(DATEVALUE(C6))), AND(ISNUMBER(C6), LEFT(CELL("format", C6))="D"))</formula1>
    </dataValidation>
    <dataValidation type="list" allowBlank="1" sqref="D6:D38" xr:uid="{00000000-0002-0000-0100-000001000000}">
      <formula1>"TRUE,FALSE"</formula1>
    </dataValidation>
    <dataValidation type="custom" allowBlank="1" showDropDown="1" sqref="B6:B38" xr:uid="{00000000-0002-0000-0100-000002000000}">
      <formula1>AND(ISNUMBER(B6),(NOT(OR(NOT(ISERROR(DATEVALUE(B6))), AND(ISNUMBER(B6), LEFT(CELL("format", B6))="D")))))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0"/>
  <sheetViews>
    <sheetView workbookViewId="0">
      <selection activeCell="B24" sqref="B24"/>
    </sheetView>
  </sheetViews>
  <sheetFormatPr baseColWidth="10" defaultColWidth="14.5" defaultRowHeight="15" customHeight="1" x14ac:dyDescent="0.2"/>
  <cols>
    <col min="1" max="1" width="25" customWidth="1"/>
    <col min="2" max="2" width="17.5" customWidth="1"/>
    <col min="3" max="3" width="19.5" customWidth="1"/>
    <col min="4" max="4" width="18.5" customWidth="1"/>
    <col min="5" max="5" width="18.6640625" customWidth="1"/>
    <col min="6" max="6" width="2.1640625" customWidth="1"/>
    <col min="7" max="7" width="23.1640625" customWidth="1"/>
    <col min="8" max="8" width="10.5" customWidth="1"/>
    <col min="9" max="9" width="12" customWidth="1"/>
    <col min="10" max="26" width="8.6640625" customWidth="1"/>
  </cols>
  <sheetData>
    <row r="1" spans="1:11" ht="22.5" customHeight="1" x14ac:dyDescent="0.25">
      <c r="A1" s="17" t="s">
        <v>0</v>
      </c>
      <c r="B1" s="17" t="s">
        <v>26</v>
      </c>
      <c r="C1" s="17" t="s">
        <v>30</v>
      </c>
      <c r="D1" s="17" t="s">
        <v>31</v>
      </c>
      <c r="E1" s="17" t="s">
        <v>32</v>
      </c>
      <c r="G1" s="24" t="s">
        <v>33</v>
      </c>
      <c r="H1" s="23"/>
      <c r="I1" s="26">
        <f>SUMIFS(B2:B8, C2:C8, "&lt;&gt;Annually", C2:C8, "&lt;&gt;Quarterly")</f>
        <v>2396.71</v>
      </c>
      <c r="J1" s="23"/>
      <c r="K1" s="19"/>
    </row>
    <row r="2" spans="1:11" ht="22.5" customHeight="1" x14ac:dyDescent="0.25">
      <c r="A2" s="20" t="s">
        <v>34</v>
      </c>
      <c r="B2" s="4">
        <v>384.03</v>
      </c>
      <c r="C2" s="3" t="s">
        <v>35</v>
      </c>
      <c r="D2" s="18">
        <v>46149</v>
      </c>
      <c r="E2" s="18">
        <v>46143</v>
      </c>
      <c r="G2" s="24" t="s">
        <v>36</v>
      </c>
      <c r="H2" s="23"/>
      <c r="I2" s="25">
        <f>SUMIFS(Accounts!B2:B105,Accounts!C2:C105,"Asset")-H3</f>
        <v>9851.2199999999993</v>
      </c>
      <c r="J2" s="23"/>
      <c r="K2" s="19"/>
    </row>
    <row r="3" spans="1:11" ht="22.5" customHeight="1" x14ac:dyDescent="0.2">
      <c r="A3" s="3" t="s">
        <v>37</v>
      </c>
      <c r="B3" s="4">
        <v>64</v>
      </c>
      <c r="C3" s="3" t="s">
        <v>38</v>
      </c>
      <c r="D3" s="18">
        <v>46174</v>
      </c>
      <c r="E3" s="18">
        <v>46154</v>
      </c>
      <c r="G3" s="2"/>
      <c r="H3" s="21"/>
    </row>
    <row r="4" spans="1:11" ht="22.5" customHeight="1" x14ac:dyDescent="0.2">
      <c r="A4" s="20" t="s">
        <v>39</v>
      </c>
      <c r="B4" s="4">
        <v>1138.68</v>
      </c>
      <c r="C4" s="3" t="s">
        <v>38</v>
      </c>
      <c r="D4" s="18">
        <v>46204</v>
      </c>
      <c r="E4" s="18">
        <v>46167</v>
      </c>
      <c r="G4" s="2"/>
      <c r="H4" s="21"/>
    </row>
    <row r="5" spans="1:11" ht="22.5" customHeight="1" x14ac:dyDescent="0.2">
      <c r="A5" s="3" t="s">
        <v>40</v>
      </c>
      <c r="B5" s="4">
        <v>400</v>
      </c>
      <c r="C5" s="3" t="s">
        <v>38</v>
      </c>
      <c r="D5" s="18">
        <v>46174</v>
      </c>
      <c r="E5" s="18">
        <v>46150</v>
      </c>
    </row>
    <row r="6" spans="1:11" ht="22.5" customHeight="1" x14ac:dyDescent="0.2">
      <c r="A6" s="20" t="s">
        <v>41</v>
      </c>
      <c r="B6" s="4">
        <v>300</v>
      </c>
      <c r="C6" s="3" t="s">
        <v>38</v>
      </c>
      <c r="D6" s="18">
        <v>46174</v>
      </c>
      <c r="E6" s="18">
        <v>46127</v>
      </c>
    </row>
    <row r="7" spans="1:11" ht="22.5" customHeight="1" x14ac:dyDescent="0.2">
      <c r="A7" s="20" t="s">
        <v>42</v>
      </c>
      <c r="B7" s="4">
        <v>70</v>
      </c>
      <c r="C7" s="3" t="s">
        <v>38</v>
      </c>
      <c r="D7" s="18">
        <v>46174</v>
      </c>
      <c r="E7" s="18">
        <v>45981</v>
      </c>
    </row>
    <row r="8" spans="1:11" ht="22.5" customHeight="1" x14ac:dyDescent="0.2">
      <c r="A8" s="20" t="s">
        <v>43</v>
      </c>
      <c r="B8" s="4">
        <v>40</v>
      </c>
      <c r="C8" s="3" t="s">
        <v>38</v>
      </c>
      <c r="D8" s="18">
        <v>46162</v>
      </c>
      <c r="E8" s="18">
        <v>46164</v>
      </c>
    </row>
    <row r="9" spans="1:11" ht="22.5" customHeight="1" x14ac:dyDescent="0.2">
      <c r="A9" s="20" t="s">
        <v>44</v>
      </c>
      <c r="B9" s="4">
        <v>160.11000000000001</v>
      </c>
      <c r="C9" s="3" t="s">
        <v>38</v>
      </c>
      <c r="D9" s="18">
        <v>46156</v>
      </c>
      <c r="E9" s="18"/>
    </row>
    <row r="10" spans="1:11" ht="22.5" customHeight="1" x14ac:dyDescent="0.2">
      <c r="A10" s="20" t="s">
        <v>45</v>
      </c>
      <c r="B10" s="4">
        <v>7.99</v>
      </c>
      <c r="C10" s="3" t="s">
        <v>38</v>
      </c>
      <c r="D10" s="18">
        <v>46157</v>
      </c>
      <c r="E10" s="18"/>
    </row>
    <row r="11" spans="1:11" ht="22.5" customHeight="1" x14ac:dyDescent="0.2">
      <c r="A11" s="20" t="s">
        <v>46</v>
      </c>
      <c r="B11" s="4">
        <v>5.99</v>
      </c>
      <c r="C11" s="3" t="s">
        <v>38</v>
      </c>
      <c r="D11" s="18">
        <v>46158</v>
      </c>
      <c r="E11" s="18"/>
    </row>
    <row r="12" spans="1:11" ht="22.5" customHeight="1" x14ac:dyDescent="0.2">
      <c r="A12" s="20" t="s">
        <v>47</v>
      </c>
      <c r="B12" s="4">
        <v>69.989999999999995</v>
      </c>
      <c r="C12" s="3" t="s">
        <v>38</v>
      </c>
      <c r="D12" s="18">
        <v>46166</v>
      </c>
      <c r="E12" s="18"/>
    </row>
    <row r="13" spans="1:11" ht="22.5" customHeight="1" x14ac:dyDescent="0.2">
      <c r="A13" s="20" t="s">
        <v>48</v>
      </c>
      <c r="B13" s="4">
        <v>9.99</v>
      </c>
      <c r="C13" s="3" t="s">
        <v>38</v>
      </c>
      <c r="D13" s="18">
        <v>46168</v>
      </c>
      <c r="E13" s="18"/>
    </row>
    <row r="14" spans="1:11" ht="22.5" customHeight="1" x14ac:dyDescent="0.2">
      <c r="A14" s="20" t="s">
        <v>49</v>
      </c>
      <c r="B14" s="4">
        <v>5.99</v>
      </c>
      <c r="C14" s="3" t="s">
        <v>38</v>
      </c>
      <c r="D14" s="18">
        <v>46169</v>
      </c>
      <c r="E14" s="18"/>
    </row>
    <row r="15" spans="1:11" ht="22.5" customHeight="1" x14ac:dyDescent="0.2">
      <c r="A15" s="20" t="s">
        <v>50</v>
      </c>
      <c r="B15" s="4">
        <v>65</v>
      </c>
      <c r="C15" s="3" t="s">
        <v>38</v>
      </c>
      <c r="D15" s="18">
        <v>46170</v>
      </c>
      <c r="E15" s="18"/>
    </row>
    <row r="16" spans="1:11" ht="22.5" customHeight="1" x14ac:dyDescent="0.2">
      <c r="A16" s="20" t="s">
        <v>51</v>
      </c>
      <c r="B16" s="4">
        <v>60</v>
      </c>
      <c r="C16" s="3" t="s">
        <v>38</v>
      </c>
      <c r="D16" s="18">
        <v>46170</v>
      </c>
      <c r="E16" s="18"/>
    </row>
    <row r="17" spans="1:5" ht="22.5" customHeight="1" x14ac:dyDescent="0.2">
      <c r="A17" s="20" t="s">
        <v>52</v>
      </c>
      <c r="B17" s="4">
        <v>39</v>
      </c>
      <c r="C17" s="3" t="s">
        <v>53</v>
      </c>
      <c r="D17" s="18">
        <v>46174</v>
      </c>
      <c r="E17" s="18"/>
    </row>
    <row r="18" spans="1:5" ht="22.5" customHeight="1" x14ac:dyDescent="0.2">
      <c r="A18" s="20" t="s">
        <v>54</v>
      </c>
      <c r="B18" s="4">
        <v>80</v>
      </c>
      <c r="C18" s="3" t="s">
        <v>53</v>
      </c>
      <c r="D18" s="18"/>
      <c r="E18" s="18"/>
    </row>
    <row r="19" spans="1:5" ht="15.75" customHeight="1" x14ac:dyDescent="0.2">
      <c r="A19" s="3" t="s">
        <v>55</v>
      </c>
      <c r="B19" s="4">
        <v>29.99</v>
      </c>
      <c r="C19" s="3" t="s">
        <v>56</v>
      </c>
      <c r="D19" s="18">
        <v>46464</v>
      </c>
      <c r="E19" s="18"/>
    </row>
    <row r="20" spans="1:5" ht="15.75" customHeight="1" x14ac:dyDescent="0.2">
      <c r="A20" s="3" t="s">
        <v>57</v>
      </c>
      <c r="B20" s="4">
        <v>69</v>
      </c>
      <c r="C20" s="3" t="s">
        <v>56</v>
      </c>
      <c r="D20" s="18">
        <v>46472</v>
      </c>
      <c r="E20" s="18"/>
    </row>
    <row r="21" spans="1:5" ht="15.75" customHeight="1" x14ac:dyDescent="0.2">
      <c r="A21" s="3" t="s">
        <v>58</v>
      </c>
      <c r="B21" s="4">
        <v>0</v>
      </c>
      <c r="C21" s="3" t="s">
        <v>56</v>
      </c>
      <c r="D21" s="18">
        <v>46474</v>
      </c>
      <c r="E21" s="18"/>
    </row>
    <row r="22" spans="1:5" ht="15.75" customHeight="1" x14ac:dyDescent="0.2">
      <c r="A22" s="3" t="s">
        <v>59</v>
      </c>
      <c r="B22" s="4">
        <v>78</v>
      </c>
      <c r="C22" s="3" t="s">
        <v>56</v>
      </c>
      <c r="D22" s="18">
        <v>46474</v>
      </c>
      <c r="E22" s="18"/>
    </row>
    <row r="23" spans="1:5" ht="15.75" customHeight="1" x14ac:dyDescent="0.2">
      <c r="A23" s="3" t="s">
        <v>60</v>
      </c>
      <c r="B23" s="4">
        <v>29.99</v>
      </c>
      <c r="C23" s="3" t="s">
        <v>56</v>
      </c>
      <c r="D23" s="18">
        <v>46508</v>
      </c>
      <c r="E23" s="18"/>
    </row>
    <row r="24" spans="1:5" ht="15.75" customHeight="1" x14ac:dyDescent="0.2">
      <c r="A24" s="3" t="s">
        <v>61</v>
      </c>
      <c r="B24" s="4">
        <v>130</v>
      </c>
      <c r="C24" s="3" t="s">
        <v>56</v>
      </c>
      <c r="D24" s="18">
        <v>46173</v>
      </c>
      <c r="E24" s="18"/>
    </row>
    <row r="25" spans="1:5" ht="15.75" customHeight="1" x14ac:dyDescent="0.2">
      <c r="A25" s="3" t="s">
        <v>62</v>
      </c>
      <c r="B25" s="4">
        <v>156</v>
      </c>
      <c r="C25" s="3" t="s">
        <v>56</v>
      </c>
      <c r="D25" s="18">
        <v>46203</v>
      </c>
      <c r="E25" s="18"/>
    </row>
    <row r="26" spans="1:5" ht="15.75" customHeight="1" x14ac:dyDescent="0.2">
      <c r="A26" s="3" t="s">
        <v>63</v>
      </c>
      <c r="B26" s="4">
        <v>19.989999999999998</v>
      </c>
      <c r="C26" s="3" t="s">
        <v>56</v>
      </c>
      <c r="D26" s="18">
        <v>46221</v>
      </c>
      <c r="E26" s="18"/>
    </row>
    <row r="27" spans="1:5" ht="15.75" customHeight="1" x14ac:dyDescent="0.2">
      <c r="A27" s="3" t="s">
        <v>64</v>
      </c>
      <c r="B27" s="4">
        <v>44.99</v>
      </c>
      <c r="C27" s="3" t="s">
        <v>56</v>
      </c>
      <c r="D27" s="18">
        <v>46280</v>
      </c>
      <c r="E27" s="18"/>
    </row>
    <row r="28" spans="1:5" ht="15.75" customHeight="1" x14ac:dyDescent="0.2">
      <c r="A28" s="3" t="s">
        <v>65</v>
      </c>
      <c r="B28" s="4">
        <v>39.99</v>
      </c>
      <c r="C28" s="3" t="s">
        <v>56</v>
      </c>
      <c r="D28" s="18">
        <v>46287</v>
      </c>
      <c r="E28" s="18"/>
    </row>
    <row r="29" spans="1:5" ht="15.75" customHeight="1" x14ac:dyDescent="0.2">
      <c r="A29" s="3" t="s">
        <v>66</v>
      </c>
      <c r="B29" s="4">
        <v>15.99</v>
      </c>
      <c r="C29" s="3" t="s">
        <v>56</v>
      </c>
      <c r="D29" s="18">
        <v>46307</v>
      </c>
      <c r="E29" s="18"/>
    </row>
    <row r="30" spans="1:5" ht="15.75" customHeight="1" x14ac:dyDescent="0.2">
      <c r="A30" s="20" t="s">
        <v>67</v>
      </c>
      <c r="B30" s="4">
        <v>130</v>
      </c>
      <c r="C30" s="3" t="s">
        <v>56</v>
      </c>
      <c r="D30" s="18">
        <v>46313</v>
      </c>
      <c r="E30" s="18"/>
    </row>
    <row r="31" spans="1:5" ht="15.75" customHeight="1" x14ac:dyDescent="0.2">
      <c r="A31" s="3" t="s">
        <v>68</v>
      </c>
      <c r="B31" s="4">
        <v>120</v>
      </c>
      <c r="C31" s="3" t="s">
        <v>56</v>
      </c>
      <c r="D31" s="18">
        <v>46361</v>
      </c>
      <c r="E31" s="18"/>
    </row>
    <row r="32" spans="1:5" ht="15.75" customHeight="1" x14ac:dyDescent="0.2">
      <c r="A32" s="3" t="s">
        <v>69</v>
      </c>
      <c r="B32" s="4">
        <v>151</v>
      </c>
      <c r="C32" s="3" t="s">
        <v>56</v>
      </c>
      <c r="D32" s="18">
        <v>46387</v>
      </c>
      <c r="E32" s="18"/>
    </row>
    <row r="33" spans="1:5" ht="15.75" customHeight="1" x14ac:dyDescent="0.2">
      <c r="A33" s="3" t="s">
        <v>70</v>
      </c>
      <c r="B33" s="4">
        <v>50</v>
      </c>
      <c r="C33" s="3" t="s">
        <v>56</v>
      </c>
      <c r="D33" s="18">
        <v>46389</v>
      </c>
      <c r="E33" s="18"/>
    </row>
    <row r="34" spans="1:5" ht="15.75" customHeight="1" x14ac:dyDescent="0.2">
      <c r="A34" s="3" t="s">
        <v>71</v>
      </c>
      <c r="B34" s="4">
        <v>79.989999999999995</v>
      </c>
      <c r="C34" s="3" t="s">
        <v>56</v>
      </c>
      <c r="D34" s="18">
        <v>46405</v>
      </c>
      <c r="E34" s="18"/>
    </row>
    <row r="35" spans="1:5" ht="15.75" customHeight="1" x14ac:dyDescent="0.2">
      <c r="A35" s="3" t="s">
        <v>72</v>
      </c>
      <c r="B35" s="4">
        <v>200</v>
      </c>
      <c r="C35" s="3" t="s">
        <v>56</v>
      </c>
      <c r="D35" s="18">
        <v>46440</v>
      </c>
      <c r="E35" s="18"/>
    </row>
    <row r="36" spans="1:5" ht="15.75" customHeight="1" x14ac:dyDescent="0.2">
      <c r="A36" s="3" t="s">
        <v>73</v>
      </c>
      <c r="B36" s="4">
        <v>69.989999999999995</v>
      </c>
      <c r="C36" s="3" t="s">
        <v>56</v>
      </c>
      <c r="D36" s="18">
        <v>46449</v>
      </c>
      <c r="E36" s="18"/>
    </row>
    <row r="37" spans="1:5" ht="15.75" customHeight="1" x14ac:dyDescent="0.2">
      <c r="A37" s="3" t="s">
        <v>74</v>
      </c>
      <c r="B37" s="4">
        <v>151</v>
      </c>
      <c r="C37" s="3" t="s">
        <v>56</v>
      </c>
      <c r="D37" s="18">
        <v>46477</v>
      </c>
      <c r="E37" s="18"/>
    </row>
    <row r="38" spans="1:5" ht="15.75" customHeight="1" x14ac:dyDescent="0.2">
      <c r="A38" s="3" t="s">
        <v>75</v>
      </c>
      <c r="B38" s="4">
        <v>55</v>
      </c>
      <c r="C38" s="3" t="s">
        <v>56</v>
      </c>
      <c r="D38" s="18">
        <v>47542</v>
      </c>
      <c r="E38" s="18"/>
    </row>
    <row r="39" spans="1:5" ht="15.75" customHeight="1" x14ac:dyDescent="0.2">
      <c r="A39" s="3" t="s">
        <v>76</v>
      </c>
      <c r="B39" s="4">
        <v>7.99</v>
      </c>
      <c r="C39" s="3" t="s">
        <v>77</v>
      </c>
      <c r="D39" s="18">
        <v>46189</v>
      </c>
      <c r="E39" s="18"/>
    </row>
    <row r="40" spans="1:5" ht="15.75" customHeight="1" x14ac:dyDescent="0.2">
      <c r="A40" s="3" t="s">
        <v>78</v>
      </c>
      <c r="B40" s="4">
        <v>30</v>
      </c>
      <c r="C40" s="3" t="s">
        <v>77</v>
      </c>
      <c r="D40" s="18">
        <v>46150</v>
      </c>
      <c r="E40" s="18"/>
    </row>
    <row r="41" spans="1:5" ht="15.75" customHeight="1" x14ac:dyDescent="0.2">
      <c r="A41" s="3" t="s">
        <v>79</v>
      </c>
      <c r="B41" s="4">
        <v>7</v>
      </c>
      <c r="C41" s="3" t="s">
        <v>77</v>
      </c>
      <c r="D41" s="18">
        <v>46158</v>
      </c>
      <c r="E41" s="18"/>
    </row>
    <row r="42" spans="1:5" ht="15.75" customHeight="1" x14ac:dyDescent="0.2">
      <c r="A42" s="3" t="s">
        <v>80</v>
      </c>
      <c r="B42" s="4">
        <v>200</v>
      </c>
      <c r="C42" s="3" t="s">
        <v>77</v>
      </c>
      <c r="D42" s="18">
        <v>46363</v>
      </c>
      <c r="E42" s="18"/>
    </row>
    <row r="43" spans="1:5" ht="15.75" customHeight="1" x14ac:dyDescent="0.2">
      <c r="A43" s="3" t="s">
        <v>81</v>
      </c>
      <c r="B43" s="4">
        <v>168</v>
      </c>
      <c r="C43" s="3" t="s">
        <v>77</v>
      </c>
      <c r="D43" s="18">
        <v>46437</v>
      </c>
      <c r="E43" s="18"/>
    </row>
    <row r="44" spans="1:5" ht="15.75" customHeight="1" x14ac:dyDescent="0.2">
      <c r="A44" s="3" t="s">
        <v>82</v>
      </c>
      <c r="B44" s="4">
        <v>71.88</v>
      </c>
      <c r="C44" s="3" t="s">
        <v>77</v>
      </c>
      <c r="D44" s="18">
        <v>46438</v>
      </c>
      <c r="E44" s="18"/>
    </row>
    <row r="45" spans="1:5" ht="15.75" customHeight="1" x14ac:dyDescent="0.2">
      <c r="A45" s="3" t="s">
        <v>83</v>
      </c>
      <c r="B45" s="4">
        <v>77</v>
      </c>
      <c r="C45" s="3" t="s">
        <v>77</v>
      </c>
      <c r="D45" s="18">
        <v>46822</v>
      </c>
      <c r="E45" s="18"/>
    </row>
    <row r="46" spans="1:5" ht="15.75" customHeight="1" x14ac:dyDescent="0.2">
      <c r="A46" s="3" t="s">
        <v>84</v>
      </c>
      <c r="B46" s="4">
        <v>64356.98</v>
      </c>
      <c r="C46" s="3" t="s">
        <v>85</v>
      </c>
      <c r="D46" s="18">
        <v>46553</v>
      </c>
      <c r="E46" s="18"/>
    </row>
    <row r="47" spans="1:5" ht="15.75" customHeight="1" x14ac:dyDescent="0.2">
      <c r="A47" s="3" t="s">
        <v>86</v>
      </c>
      <c r="B47" s="4">
        <v>14331.21</v>
      </c>
      <c r="C47" s="3" t="s">
        <v>85</v>
      </c>
      <c r="D47" s="18">
        <v>47066</v>
      </c>
      <c r="E47" s="18"/>
    </row>
    <row r="48" spans="1:5" ht="15.75" customHeight="1" x14ac:dyDescent="0.2">
      <c r="A48" s="3" t="s">
        <v>87</v>
      </c>
      <c r="B48" s="4">
        <v>10.99</v>
      </c>
      <c r="C48" s="3" t="s">
        <v>88</v>
      </c>
      <c r="D48" s="18">
        <v>45538</v>
      </c>
      <c r="E48" s="18"/>
    </row>
    <row r="49" spans="1:5" ht="15.75" customHeight="1" x14ac:dyDescent="0.2">
      <c r="A49" s="3" t="s">
        <v>89</v>
      </c>
      <c r="B49" s="4">
        <v>19.989999999999998</v>
      </c>
      <c r="C49" s="3" t="s">
        <v>88</v>
      </c>
      <c r="D49" s="18">
        <v>45570</v>
      </c>
      <c r="E49" s="18"/>
    </row>
    <row r="50" spans="1:5" ht="15.75" customHeight="1" x14ac:dyDescent="0.2">
      <c r="A50" s="3" t="s">
        <v>90</v>
      </c>
      <c r="B50" s="4">
        <v>5.99</v>
      </c>
      <c r="C50" s="3" t="s">
        <v>88</v>
      </c>
      <c r="D50" s="18">
        <v>45601</v>
      </c>
      <c r="E50" s="18"/>
    </row>
    <row r="51" spans="1:5" ht="15.75" customHeight="1" x14ac:dyDescent="0.2">
      <c r="A51" s="3" t="s">
        <v>91</v>
      </c>
      <c r="B51" s="4">
        <v>6.99</v>
      </c>
      <c r="C51" s="3" t="s">
        <v>88</v>
      </c>
      <c r="D51" s="18">
        <v>45644</v>
      </c>
      <c r="E51" s="18"/>
    </row>
    <row r="52" spans="1:5" ht="15.75" customHeight="1" x14ac:dyDescent="0.2">
      <c r="A52" s="3" t="s">
        <v>92</v>
      </c>
      <c r="B52" s="4">
        <v>350</v>
      </c>
      <c r="C52" s="3" t="s">
        <v>88</v>
      </c>
      <c r="D52" s="18">
        <v>45712</v>
      </c>
      <c r="E52" s="18"/>
    </row>
    <row r="53" spans="1:5" ht="22.5" customHeight="1" x14ac:dyDescent="0.2">
      <c r="A53" s="20" t="s">
        <v>93</v>
      </c>
      <c r="B53" s="4">
        <v>17.989999999999998</v>
      </c>
      <c r="C53" s="3" t="s">
        <v>88</v>
      </c>
      <c r="D53" s="18">
        <v>46174</v>
      </c>
      <c r="E53" s="18">
        <v>46157</v>
      </c>
    </row>
    <row r="54" spans="1:5" ht="15.75" customHeight="1" x14ac:dyDescent="0.2">
      <c r="A54" s="3" t="s">
        <v>94</v>
      </c>
      <c r="B54" s="4">
        <v>9.99</v>
      </c>
      <c r="C54" s="3" t="s">
        <v>88</v>
      </c>
      <c r="D54" s="18">
        <v>45836</v>
      </c>
      <c r="E54" s="18"/>
    </row>
    <row r="55" spans="1:5" ht="15.75" customHeight="1" x14ac:dyDescent="0.2">
      <c r="A55" s="3" t="s">
        <v>95</v>
      </c>
      <c r="B55" s="4">
        <v>79.989999999999995</v>
      </c>
      <c r="C55" s="3" t="s">
        <v>88</v>
      </c>
      <c r="D55" s="18">
        <v>45918</v>
      </c>
      <c r="E55" s="18"/>
    </row>
    <row r="56" spans="1:5" ht="15.75" customHeight="1" x14ac:dyDescent="0.2">
      <c r="A56" s="3" t="s">
        <v>96</v>
      </c>
      <c r="B56" s="4">
        <v>7.99</v>
      </c>
      <c r="C56" s="3" t="s">
        <v>88</v>
      </c>
      <c r="D56" s="18">
        <v>45973</v>
      </c>
      <c r="E56" s="18"/>
    </row>
    <row r="57" spans="1:5" ht="15.75" customHeight="1" x14ac:dyDescent="0.2">
      <c r="A57" s="3" t="s">
        <v>97</v>
      </c>
      <c r="B57" s="4">
        <v>3</v>
      </c>
      <c r="C57" s="3" t="s">
        <v>88</v>
      </c>
      <c r="D57" s="18">
        <v>46076</v>
      </c>
      <c r="E57" s="18"/>
    </row>
    <row r="58" spans="1:5" ht="15.75" customHeight="1" x14ac:dyDescent="0.2">
      <c r="A58" s="3" t="s">
        <v>98</v>
      </c>
      <c r="B58" s="4">
        <v>10.99</v>
      </c>
      <c r="C58" s="3" t="s">
        <v>88</v>
      </c>
      <c r="D58" s="18">
        <v>46099</v>
      </c>
      <c r="E58" s="18"/>
    </row>
    <row r="59" spans="1:5" ht="15.75" customHeight="1" x14ac:dyDescent="0.2">
      <c r="A59" s="3" t="s">
        <v>99</v>
      </c>
      <c r="B59" s="4"/>
      <c r="C59" s="3" t="s">
        <v>88</v>
      </c>
      <c r="D59" s="18"/>
      <c r="E59" s="18"/>
    </row>
    <row r="60" spans="1:5" ht="22.5" customHeight="1" x14ac:dyDescent="0.2">
      <c r="A60" s="3" t="s">
        <v>100</v>
      </c>
      <c r="B60" s="4">
        <v>16.489999999999998</v>
      </c>
      <c r="C60" s="3" t="s">
        <v>88</v>
      </c>
      <c r="D60" s="18">
        <v>46105</v>
      </c>
      <c r="E60" s="18"/>
    </row>
    <row r="61" spans="1:5" ht="15.75" customHeight="1" x14ac:dyDescent="0.2">
      <c r="A61" s="3" t="s">
        <v>101</v>
      </c>
      <c r="B61" s="4">
        <v>9.99</v>
      </c>
      <c r="C61" s="3" t="s">
        <v>88</v>
      </c>
      <c r="D61" s="18"/>
      <c r="E61" s="18"/>
    </row>
    <row r="62" spans="1:5" ht="15.75" customHeight="1" x14ac:dyDescent="0.2">
      <c r="A62" s="3" t="s">
        <v>102</v>
      </c>
      <c r="B62" s="4">
        <v>59.99</v>
      </c>
      <c r="C62" s="3" t="s">
        <v>103</v>
      </c>
      <c r="D62" s="18">
        <v>45323</v>
      </c>
      <c r="E62" s="18"/>
    </row>
    <row r="63" spans="1:5" ht="15.75" customHeight="1" x14ac:dyDescent="0.2">
      <c r="A63" s="3" t="s">
        <v>104</v>
      </c>
      <c r="B63" s="4">
        <v>59.99</v>
      </c>
      <c r="C63" s="3" t="s">
        <v>103</v>
      </c>
      <c r="D63" s="18">
        <v>45400</v>
      </c>
      <c r="E63" s="18"/>
    </row>
    <row r="64" spans="1:5" ht="15.75" customHeight="1" x14ac:dyDescent="0.2">
      <c r="A64" s="3" t="s">
        <v>105</v>
      </c>
      <c r="B64" s="4">
        <v>39.99</v>
      </c>
      <c r="C64" s="3" t="s">
        <v>103</v>
      </c>
      <c r="D64" s="18">
        <v>45417</v>
      </c>
      <c r="E64" s="18"/>
    </row>
    <row r="65" spans="1:5" ht="15.75" customHeight="1" x14ac:dyDescent="0.2">
      <c r="A65" s="20" t="s">
        <v>106</v>
      </c>
      <c r="B65" s="4">
        <v>92.69</v>
      </c>
      <c r="C65" s="3" t="s">
        <v>103</v>
      </c>
      <c r="D65" s="18">
        <v>45620</v>
      </c>
      <c r="E65" s="18"/>
    </row>
    <row r="66" spans="1:5" ht="15.75" customHeight="1" x14ac:dyDescent="0.2">
      <c r="A66" s="3" t="s">
        <v>107</v>
      </c>
      <c r="B66" s="4">
        <v>99</v>
      </c>
      <c r="C66" s="3" t="s">
        <v>103</v>
      </c>
      <c r="D66" s="18">
        <v>45648</v>
      </c>
      <c r="E66" s="18"/>
    </row>
    <row r="67" spans="1:5" ht="15.75" customHeight="1" x14ac:dyDescent="0.2">
      <c r="A67" s="3" t="s">
        <v>108</v>
      </c>
      <c r="B67" s="4">
        <v>39.99</v>
      </c>
      <c r="C67" s="3" t="s">
        <v>103</v>
      </c>
      <c r="D67" s="18">
        <v>45664</v>
      </c>
      <c r="E67" s="18"/>
    </row>
    <row r="68" spans="1:5" ht="15.75" customHeight="1" x14ac:dyDescent="0.2">
      <c r="A68" s="3" t="s">
        <v>109</v>
      </c>
      <c r="B68" s="4">
        <v>29.99</v>
      </c>
      <c r="C68" s="3" t="s">
        <v>103</v>
      </c>
      <c r="D68" s="18">
        <v>45664</v>
      </c>
      <c r="E68" s="18"/>
    </row>
    <row r="69" spans="1:5" ht="15.75" customHeight="1" x14ac:dyDescent="0.2">
      <c r="A69" s="3" t="s">
        <v>110</v>
      </c>
      <c r="B69" s="4">
        <v>110</v>
      </c>
      <c r="C69" s="3" t="s">
        <v>103</v>
      </c>
      <c r="D69" s="18">
        <v>45670</v>
      </c>
      <c r="E69" s="18"/>
    </row>
    <row r="70" spans="1:5" ht="15.75" customHeight="1" x14ac:dyDescent="0.2">
      <c r="A70" s="3" t="s">
        <v>111</v>
      </c>
      <c r="B70" s="4">
        <v>55</v>
      </c>
      <c r="C70" s="3" t="s">
        <v>103</v>
      </c>
      <c r="D70" s="18">
        <v>45670</v>
      </c>
      <c r="E70" s="18"/>
    </row>
    <row r="71" spans="1:5" ht="15.75" customHeight="1" x14ac:dyDescent="0.2">
      <c r="A71" s="3" t="s">
        <v>112</v>
      </c>
      <c r="B71" s="4">
        <v>79.989999999999995</v>
      </c>
      <c r="C71" s="3" t="s">
        <v>103</v>
      </c>
      <c r="D71" s="18">
        <v>45693</v>
      </c>
      <c r="E71" s="18"/>
    </row>
    <row r="72" spans="1:5" ht="15.75" customHeight="1" x14ac:dyDescent="0.2">
      <c r="A72" s="3" t="s">
        <v>113</v>
      </c>
      <c r="B72" s="4">
        <v>94.99</v>
      </c>
      <c r="C72" s="3" t="s">
        <v>103</v>
      </c>
      <c r="D72" s="18">
        <v>45736</v>
      </c>
      <c r="E72" s="18"/>
    </row>
    <row r="73" spans="1:5" ht="15.75" customHeight="1" x14ac:dyDescent="0.2">
      <c r="A73" s="3" t="s">
        <v>114</v>
      </c>
      <c r="B73" s="4">
        <v>200</v>
      </c>
      <c r="C73" s="3" t="s">
        <v>103</v>
      </c>
      <c r="D73" s="18">
        <v>45856</v>
      </c>
      <c r="E73" s="18"/>
    </row>
    <row r="74" spans="1:5" ht="15.75" customHeight="1" x14ac:dyDescent="0.2">
      <c r="A74" s="20" t="s">
        <v>115</v>
      </c>
      <c r="B74" s="4">
        <v>79.989999999999995</v>
      </c>
      <c r="C74" s="3" t="s">
        <v>103</v>
      </c>
      <c r="D74" s="18">
        <v>45894</v>
      </c>
      <c r="E74" s="18"/>
    </row>
    <row r="75" spans="1:5" ht="15.75" customHeight="1" x14ac:dyDescent="0.2">
      <c r="A75" s="3" t="s">
        <v>116</v>
      </c>
      <c r="B75" s="4">
        <v>29.99</v>
      </c>
      <c r="C75" s="3" t="s">
        <v>103</v>
      </c>
      <c r="D75" s="18">
        <v>45899</v>
      </c>
      <c r="E75" s="18"/>
    </row>
    <row r="76" spans="1:5" ht="15.75" customHeight="1" x14ac:dyDescent="0.2">
      <c r="A76" s="3" t="s">
        <v>117</v>
      </c>
      <c r="B76" s="4">
        <v>14.99</v>
      </c>
      <c r="C76" s="3" t="s">
        <v>103</v>
      </c>
      <c r="D76" s="18">
        <v>45899</v>
      </c>
      <c r="E76" s="18"/>
    </row>
    <row r="77" spans="1:5" ht="15.75" customHeight="1" x14ac:dyDescent="0.2">
      <c r="A77" s="3" t="s">
        <v>118</v>
      </c>
      <c r="B77" s="4">
        <v>99.99</v>
      </c>
      <c r="C77" s="3" t="s">
        <v>103</v>
      </c>
      <c r="D77" s="18">
        <v>45899</v>
      </c>
      <c r="E77" s="18"/>
    </row>
    <row r="78" spans="1:5" ht="15.75" customHeight="1" x14ac:dyDescent="0.2">
      <c r="A78" s="3" t="s">
        <v>119</v>
      </c>
      <c r="B78" s="4">
        <v>161.88</v>
      </c>
      <c r="C78" s="3" t="s">
        <v>103</v>
      </c>
      <c r="D78" s="18">
        <v>45930</v>
      </c>
      <c r="E78" s="18"/>
    </row>
    <row r="79" spans="1:5" ht="15.75" customHeight="1" x14ac:dyDescent="0.2">
      <c r="A79" s="3" t="s">
        <v>120</v>
      </c>
      <c r="B79" s="4">
        <v>9.99</v>
      </c>
      <c r="C79" s="3" t="s">
        <v>103</v>
      </c>
      <c r="D79" s="18">
        <v>45952</v>
      </c>
      <c r="E79" s="18"/>
    </row>
    <row r="80" spans="1:5" ht="15.75" customHeight="1" x14ac:dyDescent="0.2">
      <c r="A80" s="3" t="s">
        <v>121</v>
      </c>
      <c r="B80" s="4">
        <v>79.989999999999995</v>
      </c>
      <c r="C80" s="3" t="s">
        <v>103</v>
      </c>
      <c r="D80" s="18">
        <v>46033</v>
      </c>
      <c r="E80" s="18"/>
    </row>
    <row r="81" spans="1:5" ht="15.75" customHeight="1" x14ac:dyDescent="0.2">
      <c r="A81" s="3" t="s">
        <v>122</v>
      </c>
      <c r="B81" s="4">
        <v>12</v>
      </c>
      <c r="C81" s="3" t="s">
        <v>103</v>
      </c>
      <c r="D81" s="18">
        <v>46036</v>
      </c>
      <c r="E81" s="18"/>
    </row>
    <row r="82" spans="1:5" ht="15.75" customHeight="1" x14ac:dyDescent="0.2">
      <c r="A82" s="3" t="s">
        <v>123</v>
      </c>
      <c r="B82" s="4">
        <v>159</v>
      </c>
      <c r="C82" s="3" t="s">
        <v>103</v>
      </c>
      <c r="D82" s="18">
        <v>46060</v>
      </c>
      <c r="E82" s="18"/>
    </row>
    <row r="83" spans="1:5" ht="15.75" customHeight="1" x14ac:dyDescent="0.2">
      <c r="A83" s="3" t="s">
        <v>124</v>
      </c>
      <c r="B83" s="4">
        <v>79.989999999999995</v>
      </c>
      <c r="C83" s="3" t="s">
        <v>103</v>
      </c>
      <c r="D83" s="18">
        <v>46080</v>
      </c>
      <c r="E83" s="18"/>
    </row>
    <row r="84" spans="1:5" ht="15.75" customHeight="1" x14ac:dyDescent="0.2">
      <c r="A84" s="3" t="s">
        <v>125</v>
      </c>
      <c r="B84" s="4">
        <v>151</v>
      </c>
      <c r="C84" s="3" t="s">
        <v>103</v>
      </c>
      <c r="D84" s="18">
        <v>46083</v>
      </c>
      <c r="E84" s="18"/>
    </row>
    <row r="85" spans="1:5" ht="15.75" customHeight="1" x14ac:dyDescent="0.2">
      <c r="A85" s="3" t="s">
        <v>126</v>
      </c>
      <c r="B85" s="4">
        <v>19.989999999999998</v>
      </c>
      <c r="C85" s="3" t="s">
        <v>103</v>
      </c>
      <c r="D85" s="18">
        <v>46101</v>
      </c>
      <c r="E85" s="18"/>
    </row>
    <row r="86" spans="1:5" ht="15.75" customHeight="1" x14ac:dyDescent="0.2">
      <c r="A86" s="3" t="s">
        <v>127</v>
      </c>
      <c r="B86" s="4">
        <v>25</v>
      </c>
      <c r="C86" s="3" t="s">
        <v>77</v>
      </c>
      <c r="D86" s="18">
        <v>46455</v>
      </c>
      <c r="E86" s="18"/>
    </row>
    <row r="87" spans="1:5" ht="15.75" customHeight="1" x14ac:dyDescent="0.2">
      <c r="C87" s="2"/>
    </row>
    <row r="88" spans="1:5" ht="15.75" customHeight="1" x14ac:dyDescent="0.2">
      <c r="C88" s="2"/>
    </row>
    <row r="89" spans="1:5" ht="15.75" customHeight="1" x14ac:dyDescent="0.2">
      <c r="C89" s="2"/>
    </row>
    <row r="90" spans="1:5" ht="15.75" customHeight="1" x14ac:dyDescent="0.2">
      <c r="C90" s="2"/>
    </row>
    <row r="91" spans="1:5" ht="15.75" customHeight="1" x14ac:dyDescent="0.2">
      <c r="C91" s="2"/>
    </row>
    <row r="92" spans="1:5" ht="15.75" customHeight="1" x14ac:dyDescent="0.2">
      <c r="C92" s="2"/>
    </row>
    <row r="93" spans="1:5" ht="15.75" customHeight="1" x14ac:dyDescent="0.2">
      <c r="C93" s="2"/>
    </row>
    <row r="94" spans="1:5" ht="15.75" customHeight="1" x14ac:dyDescent="0.2">
      <c r="C94" s="2"/>
    </row>
    <row r="95" spans="1:5" ht="15.75" customHeight="1" x14ac:dyDescent="0.2">
      <c r="C95" s="2"/>
    </row>
    <row r="96" spans="1:5" ht="15.75" customHeight="1" x14ac:dyDescent="0.2">
      <c r="C96" s="2"/>
    </row>
    <row r="97" spans="3:3" ht="15.75" customHeight="1" x14ac:dyDescent="0.2">
      <c r="C97" s="2"/>
    </row>
    <row r="98" spans="3:3" ht="15.75" customHeight="1" x14ac:dyDescent="0.2">
      <c r="C98" s="2"/>
    </row>
    <row r="99" spans="3:3" ht="15.75" customHeight="1" x14ac:dyDescent="0.2">
      <c r="C99" s="2"/>
    </row>
    <row r="100" spans="3:3" ht="15.75" customHeight="1" x14ac:dyDescent="0.2">
      <c r="C100" s="2"/>
    </row>
    <row r="101" spans="3:3" ht="15.75" customHeight="1" x14ac:dyDescent="0.2">
      <c r="C101" s="2"/>
    </row>
    <row r="102" spans="3:3" ht="15.75" customHeight="1" x14ac:dyDescent="0.2">
      <c r="C102" s="2"/>
    </row>
    <row r="103" spans="3:3" ht="15.75" customHeight="1" x14ac:dyDescent="0.2">
      <c r="C103" s="2"/>
    </row>
    <row r="104" spans="3:3" ht="15.75" customHeight="1" x14ac:dyDescent="0.2">
      <c r="C104" s="2"/>
    </row>
    <row r="105" spans="3:3" ht="15.75" customHeight="1" x14ac:dyDescent="0.2">
      <c r="C105" s="2"/>
    </row>
    <row r="106" spans="3:3" ht="15.75" customHeight="1" x14ac:dyDescent="0.2">
      <c r="C106" s="2"/>
    </row>
    <row r="107" spans="3:3" ht="15.75" customHeight="1" x14ac:dyDescent="0.2">
      <c r="C107" s="2"/>
    </row>
    <row r="108" spans="3:3" ht="15.75" customHeight="1" x14ac:dyDescent="0.2">
      <c r="C108" s="2"/>
    </row>
    <row r="109" spans="3:3" ht="15.75" customHeight="1" x14ac:dyDescent="0.2">
      <c r="C109" s="2"/>
    </row>
    <row r="110" spans="3:3" ht="15.75" customHeight="1" x14ac:dyDescent="0.2">
      <c r="C110" s="2"/>
    </row>
    <row r="111" spans="3:3" ht="15.75" customHeight="1" x14ac:dyDescent="0.2">
      <c r="C111" s="2"/>
    </row>
    <row r="112" spans="3:3" ht="15.75" customHeight="1" x14ac:dyDescent="0.2">
      <c r="C112" s="2"/>
    </row>
    <row r="113" spans="3:3" ht="15.75" customHeight="1" x14ac:dyDescent="0.2">
      <c r="C113" s="2"/>
    </row>
    <row r="114" spans="3:3" ht="15.75" customHeight="1" x14ac:dyDescent="0.2">
      <c r="C114" s="2"/>
    </row>
    <row r="115" spans="3:3" ht="15.75" customHeight="1" x14ac:dyDescent="0.2">
      <c r="C115" s="2"/>
    </row>
    <row r="116" spans="3:3" ht="15.75" customHeight="1" x14ac:dyDescent="0.2">
      <c r="C116" s="2"/>
    </row>
    <row r="117" spans="3:3" ht="15.75" customHeight="1" x14ac:dyDescent="0.2">
      <c r="C117" s="2"/>
    </row>
    <row r="118" spans="3:3" ht="15.75" customHeight="1" x14ac:dyDescent="0.2">
      <c r="C118" s="2"/>
    </row>
    <row r="119" spans="3:3" ht="15.75" customHeight="1" x14ac:dyDescent="0.2">
      <c r="C119" s="2"/>
    </row>
    <row r="120" spans="3:3" ht="15.75" customHeight="1" x14ac:dyDescent="0.2">
      <c r="C120" s="2"/>
    </row>
    <row r="121" spans="3:3" ht="15.75" customHeight="1" x14ac:dyDescent="0.2">
      <c r="C121" s="2"/>
    </row>
    <row r="122" spans="3:3" ht="15.75" customHeight="1" x14ac:dyDescent="0.2">
      <c r="C122" s="2"/>
    </row>
    <row r="123" spans="3:3" ht="15.75" customHeight="1" x14ac:dyDescent="0.2">
      <c r="C123" s="2"/>
    </row>
    <row r="124" spans="3:3" ht="15.75" customHeight="1" x14ac:dyDescent="0.2">
      <c r="C124" s="2"/>
    </row>
    <row r="125" spans="3:3" ht="15.75" customHeight="1" x14ac:dyDescent="0.2">
      <c r="C125" s="2"/>
    </row>
    <row r="126" spans="3:3" ht="15.75" customHeight="1" x14ac:dyDescent="0.2">
      <c r="C126" s="2"/>
    </row>
    <row r="127" spans="3:3" ht="15.75" customHeight="1" x14ac:dyDescent="0.2">
      <c r="C127" s="2"/>
    </row>
    <row r="128" spans="3:3" ht="15.75" customHeight="1" x14ac:dyDescent="0.2">
      <c r="C128" s="2"/>
    </row>
    <row r="129" spans="3:3" ht="15.75" customHeight="1" x14ac:dyDescent="0.2">
      <c r="C129" s="2"/>
    </row>
    <row r="130" spans="3:3" ht="15.75" customHeight="1" x14ac:dyDescent="0.2">
      <c r="C130" s="2"/>
    </row>
    <row r="131" spans="3:3" ht="15.75" customHeight="1" x14ac:dyDescent="0.2">
      <c r="C131" s="2"/>
    </row>
    <row r="132" spans="3:3" ht="15.75" customHeight="1" x14ac:dyDescent="0.2">
      <c r="C132" s="2"/>
    </row>
    <row r="133" spans="3:3" ht="15.75" customHeight="1" x14ac:dyDescent="0.2">
      <c r="C133" s="2"/>
    </row>
    <row r="134" spans="3:3" ht="15.75" customHeight="1" x14ac:dyDescent="0.2">
      <c r="C134" s="2"/>
    </row>
    <row r="135" spans="3:3" ht="15.75" customHeight="1" x14ac:dyDescent="0.2">
      <c r="C135" s="2"/>
    </row>
    <row r="136" spans="3:3" ht="15.75" customHeight="1" x14ac:dyDescent="0.2">
      <c r="C136" s="2"/>
    </row>
    <row r="137" spans="3:3" ht="15.75" customHeight="1" x14ac:dyDescent="0.2">
      <c r="C137" s="2"/>
    </row>
    <row r="138" spans="3:3" ht="15.75" customHeight="1" x14ac:dyDescent="0.2">
      <c r="C138" s="2"/>
    </row>
    <row r="139" spans="3:3" ht="15.75" customHeight="1" x14ac:dyDescent="0.2">
      <c r="C139" s="2"/>
    </row>
    <row r="140" spans="3:3" ht="15.75" customHeight="1" x14ac:dyDescent="0.2">
      <c r="C140" s="2"/>
    </row>
    <row r="141" spans="3:3" ht="15.75" customHeight="1" x14ac:dyDescent="0.2">
      <c r="C141" s="2"/>
    </row>
    <row r="142" spans="3:3" ht="15.75" customHeight="1" x14ac:dyDescent="0.2">
      <c r="C142" s="2"/>
    </row>
    <row r="143" spans="3:3" ht="15.75" customHeight="1" x14ac:dyDescent="0.2">
      <c r="C143" s="2"/>
    </row>
    <row r="144" spans="3:3" ht="15.75" customHeight="1" x14ac:dyDescent="0.2">
      <c r="C144" s="2"/>
    </row>
    <row r="145" spans="3:3" ht="15.75" customHeight="1" x14ac:dyDescent="0.2">
      <c r="C145" s="2"/>
    </row>
    <row r="146" spans="3:3" ht="15.75" customHeight="1" x14ac:dyDescent="0.2">
      <c r="C146" s="2"/>
    </row>
    <row r="147" spans="3:3" ht="15.75" customHeight="1" x14ac:dyDescent="0.2">
      <c r="C147" s="2"/>
    </row>
    <row r="148" spans="3:3" ht="15.75" customHeight="1" x14ac:dyDescent="0.2">
      <c r="C148" s="2"/>
    </row>
    <row r="149" spans="3:3" ht="15.75" customHeight="1" x14ac:dyDescent="0.2">
      <c r="C149" s="2"/>
    </row>
    <row r="150" spans="3:3" ht="15.75" customHeight="1" x14ac:dyDescent="0.2">
      <c r="C150" s="2"/>
    </row>
    <row r="151" spans="3:3" ht="15.75" customHeight="1" x14ac:dyDescent="0.2">
      <c r="C151" s="2"/>
    </row>
    <row r="152" spans="3:3" ht="15.75" customHeight="1" x14ac:dyDescent="0.2">
      <c r="C152" s="2"/>
    </row>
    <row r="153" spans="3:3" ht="15.75" customHeight="1" x14ac:dyDescent="0.2">
      <c r="C153" s="2"/>
    </row>
    <row r="154" spans="3:3" ht="15.75" customHeight="1" x14ac:dyDescent="0.2">
      <c r="C154" s="2"/>
    </row>
    <row r="155" spans="3:3" ht="15.75" customHeight="1" x14ac:dyDescent="0.2">
      <c r="C155" s="2"/>
    </row>
    <row r="156" spans="3:3" ht="15.75" customHeight="1" x14ac:dyDescent="0.2">
      <c r="C156" s="2"/>
    </row>
    <row r="157" spans="3:3" ht="15.75" customHeight="1" x14ac:dyDescent="0.2">
      <c r="C157" s="2"/>
    </row>
    <row r="158" spans="3:3" ht="15.75" customHeight="1" x14ac:dyDescent="0.2">
      <c r="C158" s="2"/>
    </row>
    <row r="159" spans="3:3" ht="15.75" customHeight="1" x14ac:dyDescent="0.2">
      <c r="C159" s="2"/>
    </row>
    <row r="160" spans="3:3" ht="15.75" customHeight="1" x14ac:dyDescent="0.2">
      <c r="C160" s="2"/>
    </row>
    <row r="161" spans="3:3" ht="15.75" customHeight="1" x14ac:dyDescent="0.2">
      <c r="C161" s="2"/>
    </row>
    <row r="162" spans="3:3" ht="15.75" customHeight="1" x14ac:dyDescent="0.2">
      <c r="C162" s="2"/>
    </row>
    <row r="163" spans="3:3" ht="15.75" customHeight="1" x14ac:dyDescent="0.2">
      <c r="C163" s="2"/>
    </row>
    <row r="164" spans="3:3" ht="15.75" customHeight="1" x14ac:dyDescent="0.2">
      <c r="C164" s="2"/>
    </row>
    <row r="165" spans="3:3" ht="15.75" customHeight="1" x14ac:dyDescent="0.2">
      <c r="C165" s="2"/>
    </row>
    <row r="166" spans="3:3" ht="15.75" customHeight="1" x14ac:dyDescent="0.2">
      <c r="C166" s="2"/>
    </row>
    <row r="167" spans="3:3" ht="15.75" customHeight="1" x14ac:dyDescent="0.2">
      <c r="C167" s="2"/>
    </row>
    <row r="168" spans="3:3" ht="15.75" customHeight="1" x14ac:dyDescent="0.2">
      <c r="C168" s="2"/>
    </row>
    <row r="169" spans="3:3" ht="15.75" customHeight="1" x14ac:dyDescent="0.2">
      <c r="C169" s="2"/>
    </row>
    <row r="170" spans="3:3" ht="15.75" customHeight="1" x14ac:dyDescent="0.2">
      <c r="C170" s="2"/>
    </row>
    <row r="171" spans="3:3" ht="15.75" customHeight="1" x14ac:dyDescent="0.2">
      <c r="C171" s="2"/>
    </row>
    <row r="172" spans="3:3" ht="15.75" customHeight="1" x14ac:dyDescent="0.2">
      <c r="C172" s="2"/>
    </row>
    <row r="173" spans="3:3" ht="15.75" customHeight="1" x14ac:dyDescent="0.2">
      <c r="C173" s="2"/>
    </row>
    <row r="174" spans="3:3" ht="15.75" customHeight="1" x14ac:dyDescent="0.2">
      <c r="C174" s="2"/>
    </row>
    <row r="175" spans="3:3" ht="15.75" customHeight="1" x14ac:dyDescent="0.2">
      <c r="C175" s="2"/>
    </row>
    <row r="176" spans="3:3" ht="15.75" customHeight="1" x14ac:dyDescent="0.2">
      <c r="C176" s="2"/>
    </row>
    <row r="177" spans="3:3" ht="15.75" customHeight="1" x14ac:dyDescent="0.2">
      <c r="C177" s="2"/>
    </row>
    <row r="178" spans="3:3" ht="15.75" customHeight="1" x14ac:dyDescent="0.2">
      <c r="C178" s="2"/>
    </row>
    <row r="179" spans="3:3" ht="15.75" customHeight="1" x14ac:dyDescent="0.2">
      <c r="C179" s="2"/>
    </row>
    <row r="180" spans="3:3" ht="15.75" customHeight="1" x14ac:dyDescent="0.2">
      <c r="C180" s="2"/>
    </row>
    <row r="181" spans="3:3" ht="15.75" customHeight="1" x14ac:dyDescent="0.2">
      <c r="C181" s="2"/>
    </row>
    <row r="182" spans="3:3" ht="15.75" customHeight="1" x14ac:dyDescent="0.2">
      <c r="C182" s="2"/>
    </row>
    <row r="183" spans="3:3" ht="15.75" customHeight="1" x14ac:dyDescent="0.2">
      <c r="C183" s="2"/>
    </row>
    <row r="184" spans="3:3" ht="15.75" customHeight="1" x14ac:dyDescent="0.2">
      <c r="C184" s="2"/>
    </row>
    <row r="185" spans="3:3" ht="15.75" customHeight="1" x14ac:dyDescent="0.2">
      <c r="C185" s="2"/>
    </row>
    <row r="186" spans="3:3" ht="15.75" customHeight="1" x14ac:dyDescent="0.2">
      <c r="C186" s="2"/>
    </row>
    <row r="187" spans="3:3" ht="15.75" customHeight="1" x14ac:dyDescent="0.2">
      <c r="C187" s="2"/>
    </row>
    <row r="188" spans="3:3" ht="15.75" customHeight="1" x14ac:dyDescent="0.2">
      <c r="C188" s="2"/>
    </row>
    <row r="189" spans="3:3" ht="15.75" customHeight="1" x14ac:dyDescent="0.2">
      <c r="C189" s="2"/>
    </row>
    <row r="190" spans="3:3" ht="15.75" customHeight="1" x14ac:dyDescent="0.2">
      <c r="C190" s="2"/>
    </row>
    <row r="191" spans="3:3" ht="15.75" customHeight="1" x14ac:dyDescent="0.2">
      <c r="C191" s="2"/>
    </row>
    <row r="192" spans="3:3" ht="15.75" customHeight="1" x14ac:dyDescent="0.2">
      <c r="C192" s="2"/>
    </row>
    <row r="193" spans="3:3" ht="15.75" customHeight="1" x14ac:dyDescent="0.2">
      <c r="C193" s="2"/>
    </row>
    <row r="194" spans="3:3" ht="15.75" customHeight="1" x14ac:dyDescent="0.2">
      <c r="C194" s="2"/>
    </row>
    <row r="195" spans="3:3" ht="15.75" customHeight="1" x14ac:dyDescent="0.2">
      <c r="C195" s="2"/>
    </row>
    <row r="196" spans="3:3" ht="15.75" customHeight="1" x14ac:dyDescent="0.2">
      <c r="C196" s="2"/>
    </row>
    <row r="197" spans="3:3" ht="15.75" customHeight="1" x14ac:dyDescent="0.2">
      <c r="C197" s="2"/>
    </row>
    <row r="198" spans="3:3" ht="15.75" customHeight="1" x14ac:dyDescent="0.2">
      <c r="C198" s="2"/>
    </row>
    <row r="199" spans="3:3" ht="15.75" customHeight="1" x14ac:dyDescent="0.2">
      <c r="C199" s="2"/>
    </row>
    <row r="200" spans="3:3" ht="15.75" customHeight="1" x14ac:dyDescent="0.2">
      <c r="C200" s="2"/>
    </row>
    <row r="201" spans="3:3" ht="15.75" customHeight="1" x14ac:dyDescent="0.2"/>
    <row r="202" spans="3:3" ht="15.75" customHeight="1" x14ac:dyDescent="0.2"/>
    <row r="203" spans="3:3" ht="15.75" customHeight="1" x14ac:dyDescent="0.2"/>
    <row r="204" spans="3:3" ht="15.75" customHeight="1" x14ac:dyDescent="0.2"/>
    <row r="205" spans="3:3" ht="15.75" customHeight="1" x14ac:dyDescent="0.2"/>
    <row r="206" spans="3:3" ht="15.75" customHeight="1" x14ac:dyDescent="0.2"/>
    <row r="207" spans="3:3" ht="15.75" customHeight="1" x14ac:dyDescent="0.2"/>
    <row r="208" spans="3:3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G2:H2"/>
    <mergeCell ref="G1:H1"/>
    <mergeCell ref="I2:J2"/>
    <mergeCell ref="I1:J1"/>
  </mergeCells>
  <dataValidations count="3">
    <dataValidation type="list" allowBlank="1" sqref="C2:C200" xr:uid="{00000000-0002-0000-0200-000000000000}">
      <formula1>"Bi-weekly,Monthly,Quarterly,Annually,Debt,Prepaid,N/A - Monthly,N/A - Annually"</formula1>
    </dataValidation>
    <dataValidation type="custom" allowBlank="1" showDropDown="1" sqref="D2:E86" xr:uid="{00000000-0002-0000-0200-000002000000}">
      <formula1>OR(NOT(ISERROR(DATEVALUE(D2))), AND(ISNUMBER(D2), LEFT(CELL("format", D2))="D"))</formula1>
    </dataValidation>
    <dataValidation type="custom" allowBlank="1" showDropDown="1" sqref="B2:B86" xr:uid="{00000000-0002-0000-0200-000003000000}">
      <formula1>AND(ISNUMBER(B2),(NOT(OR(NOT(ISERROR(DATEVALUE(B2))), AND(ISNUMBER(B2), LEFT(CELL("format", B2))="D")))))</formula1>
    </dataValidation>
  </dataValidations>
  <hyperlinks>
    <hyperlink ref="A2" r:id="rId1" location="login-modal" xr:uid="{00000000-0004-0000-0200-000000000000}"/>
    <hyperlink ref="A4" r:id="rId2" xr:uid="{00000000-0004-0000-0200-000001000000}"/>
    <hyperlink ref="A6" r:id="rId3" xr:uid="{00000000-0004-0000-0200-000002000000}"/>
    <hyperlink ref="A7" r:id="rId4" location="/enhancedportal" xr:uid="{00000000-0004-0000-0200-000003000000}"/>
    <hyperlink ref="A8" r:id="rId5" xr:uid="{00000000-0004-0000-0200-000004000000}"/>
    <hyperlink ref="A9" r:id="rId6" xr:uid="{00000000-0004-0000-0200-000005000000}"/>
    <hyperlink ref="A10" r:id="rId7" xr:uid="{00000000-0004-0000-0200-000006000000}"/>
    <hyperlink ref="A11" r:id="rId8" xr:uid="{00000000-0004-0000-0200-000007000000}"/>
    <hyperlink ref="A12" r:id="rId9" xr:uid="{00000000-0004-0000-0200-000008000000}"/>
    <hyperlink ref="A13" r:id="rId10" xr:uid="{00000000-0004-0000-0200-000009000000}"/>
    <hyperlink ref="A14" r:id="rId11" xr:uid="{00000000-0004-0000-0200-00000A000000}"/>
    <hyperlink ref="A15" r:id="rId12" xr:uid="{00000000-0004-0000-0200-00000B000000}"/>
    <hyperlink ref="A16" r:id="rId13" xr:uid="{00000000-0004-0000-0200-00000C000000}"/>
    <hyperlink ref="A17" r:id="rId14" xr:uid="{00000000-0004-0000-0200-00000D000000}"/>
    <hyperlink ref="A18" r:id="rId15" xr:uid="{00000000-0004-0000-0200-00000E000000}"/>
    <hyperlink ref="A30" r:id="rId16" xr:uid="{00000000-0004-0000-0200-00000F000000}"/>
    <hyperlink ref="A53" r:id="rId17" xr:uid="{00000000-0004-0000-0200-000010000000}"/>
    <hyperlink ref="A65" r:id="rId18" xr:uid="{00000000-0004-0000-0200-000011000000}"/>
    <hyperlink ref="A74" r:id="rId19" xr:uid="{00000000-0004-0000-0200-000012000000}"/>
  </hyperlinks>
  <pageMargins left="0.75" right="0.75" top="1" bottom="1" header="0" footer="0"/>
  <pageSetup orientation="landscape"/>
  <tableParts count="1">
    <tablePart r:id="rId2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tabSelected="1" zoomScale="181" workbookViewId="0">
      <selection activeCell="D7" sqref="D7"/>
    </sheetView>
  </sheetViews>
  <sheetFormatPr baseColWidth="10" defaultColWidth="14.5" defaultRowHeight="15" customHeight="1" x14ac:dyDescent="0.2"/>
  <cols>
    <col min="1" max="1" width="30" customWidth="1"/>
    <col min="2" max="2" width="15" customWidth="1"/>
    <col min="3" max="3" width="14.6640625" customWidth="1"/>
    <col min="4" max="4" width="17.5" customWidth="1"/>
    <col min="5" max="26" width="8.6640625" customWidth="1"/>
  </cols>
  <sheetData>
    <row r="1" spans="1:4" ht="21" x14ac:dyDescent="0.25">
      <c r="A1" s="22" t="s">
        <v>128</v>
      </c>
      <c r="B1" s="23"/>
      <c r="C1" s="23"/>
      <c r="D1" s="23"/>
    </row>
    <row r="2" spans="1:4" x14ac:dyDescent="0.2">
      <c r="A2" s="12" t="s">
        <v>129</v>
      </c>
      <c r="B2" s="12" t="s">
        <v>130</v>
      </c>
      <c r="C2" s="12" t="s">
        <v>131</v>
      </c>
      <c r="D2" s="12" t="s">
        <v>24</v>
      </c>
    </row>
    <row r="3" spans="1:4" ht="19" x14ac:dyDescent="0.25">
      <c r="A3" s="15">
        <f>IFERROR(-SUMIFS(Accounts!B2:B105,Accounts!A2:A105,"*CMW*",Accounts!C2:C105,"Liability"),0)</f>
        <v>-1016.97</v>
      </c>
      <c r="B3" s="15" cm="1">
        <f t="array" ref="B3">SUMPRODUCT((D6:D200=TRUE)*(B6:B200&lt;0)*B6:B200)</f>
        <v>-93.68</v>
      </c>
      <c r="C3" s="14">
        <f>SUMPRODUCT((D6:D200=TRUE)*(B6:B200&gt;0)*B6:B200)</f>
        <v>0</v>
      </c>
      <c r="D3" s="16">
        <f>A3+B3+C3</f>
        <v>-1110.6500000000001</v>
      </c>
    </row>
    <row r="5" spans="1:4" ht="22.5" customHeight="1" x14ac:dyDescent="0.2">
      <c r="A5" s="17" t="s">
        <v>25</v>
      </c>
      <c r="B5" s="17" t="s">
        <v>26</v>
      </c>
      <c r="C5" s="17" t="s">
        <v>27</v>
      </c>
      <c r="D5" s="17" t="s">
        <v>28</v>
      </c>
    </row>
    <row r="6" spans="1:4" ht="22.5" customHeight="1" x14ac:dyDescent="0.2">
      <c r="A6" s="3" t="s">
        <v>132</v>
      </c>
      <c r="B6" s="3">
        <v>-20</v>
      </c>
      <c r="D6" s="3" t="b">
        <v>1</v>
      </c>
    </row>
    <row r="7" spans="1:4" ht="22.5" customHeight="1" x14ac:dyDescent="0.2">
      <c r="A7" s="28" t="s">
        <v>59</v>
      </c>
      <c r="B7">
        <v>-73.680000000000007</v>
      </c>
      <c r="D7" s="3" t="b">
        <v>1</v>
      </c>
    </row>
    <row r="8" spans="1:4" ht="22.5" customHeight="1" x14ac:dyDescent="0.2">
      <c r="D8" s="3"/>
    </row>
    <row r="9" spans="1:4" ht="22.5" customHeight="1" x14ac:dyDescent="0.2">
      <c r="D9" s="3"/>
    </row>
    <row r="10" spans="1:4" ht="22.5" customHeight="1" x14ac:dyDescent="0.2">
      <c r="D10" s="3"/>
    </row>
    <row r="11" spans="1:4" ht="22.5" customHeight="1" x14ac:dyDescent="0.2">
      <c r="D11" s="3"/>
    </row>
    <row r="12" spans="1:4" ht="22.5" customHeight="1" x14ac:dyDescent="0.2">
      <c r="D12" s="3"/>
    </row>
    <row r="13" spans="1:4" ht="22.5" customHeight="1" x14ac:dyDescent="0.2">
      <c r="D13" s="3"/>
    </row>
    <row r="14" spans="1:4" ht="22.5" customHeight="1" x14ac:dyDescent="0.2">
      <c r="D14" s="3"/>
    </row>
    <row r="15" spans="1:4" ht="22.5" customHeight="1" x14ac:dyDescent="0.2">
      <c r="D15" s="3"/>
    </row>
    <row r="16" spans="1:4" ht="22.5" customHeight="1" x14ac:dyDescent="0.2">
      <c r="D16" s="3"/>
    </row>
    <row r="17" spans="4:4" ht="22.5" customHeight="1" x14ac:dyDescent="0.2">
      <c r="D17" s="3"/>
    </row>
    <row r="18" spans="4:4" ht="22.5" customHeight="1" x14ac:dyDescent="0.2">
      <c r="D18" s="3"/>
    </row>
    <row r="19" spans="4:4" ht="22.5" customHeight="1" x14ac:dyDescent="0.2">
      <c r="D19" s="3"/>
    </row>
    <row r="20" spans="4:4" ht="22.5" customHeight="1" x14ac:dyDescent="0.2">
      <c r="D20" s="3"/>
    </row>
    <row r="21" spans="4:4" ht="15.75" customHeight="1" x14ac:dyDescent="0.2">
      <c r="D21" s="3"/>
    </row>
    <row r="22" spans="4:4" ht="15.75" customHeight="1" x14ac:dyDescent="0.2">
      <c r="D22" s="3"/>
    </row>
    <row r="23" spans="4:4" ht="15.75" customHeight="1" x14ac:dyDescent="0.2">
      <c r="D23" s="3"/>
    </row>
    <row r="24" spans="4:4" ht="15.75" customHeight="1" x14ac:dyDescent="0.2">
      <c r="D24" s="3"/>
    </row>
    <row r="25" spans="4:4" ht="15.75" customHeight="1" x14ac:dyDescent="0.2">
      <c r="D25" s="3"/>
    </row>
    <row r="26" spans="4:4" ht="15.75" customHeight="1" x14ac:dyDescent="0.2">
      <c r="D26" s="3"/>
    </row>
    <row r="27" spans="4:4" ht="15.75" customHeight="1" x14ac:dyDescent="0.2">
      <c r="D27" s="3"/>
    </row>
    <row r="28" spans="4:4" ht="15.75" customHeight="1" x14ac:dyDescent="0.2">
      <c r="D28" s="3"/>
    </row>
    <row r="29" spans="4:4" ht="15.75" customHeight="1" x14ac:dyDescent="0.2">
      <c r="D29" s="3"/>
    </row>
    <row r="30" spans="4:4" ht="15.75" customHeight="1" x14ac:dyDescent="0.2">
      <c r="D30" s="3"/>
    </row>
    <row r="31" spans="4:4" ht="15.75" customHeight="1" x14ac:dyDescent="0.2">
      <c r="D31" s="3"/>
    </row>
    <row r="32" spans="4:4" ht="15.75" customHeight="1" x14ac:dyDescent="0.2">
      <c r="D32" s="3"/>
    </row>
    <row r="33" spans="4:4" ht="15.75" customHeight="1" x14ac:dyDescent="0.2">
      <c r="D33" s="3"/>
    </row>
    <row r="34" spans="4:4" ht="15.75" customHeight="1" x14ac:dyDescent="0.2"/>
    <row r="35" spans="4:4" ht="15.75" customHeight="1" x14ac:dyDescent="0.2"/>
    <row r="36" spans="4:4" ht="15.75" customHeight="1" x14ac:dyDescent="0.2"/>
    <row r="37" spans="4:4" ht="15.75" customHeight="1" x14ac:dyDescent="0.2"/>
    <row r="38" spans="4:4" ht="15.75" customHeight="1" x14ac:dyDescent="0.2"/>
    <row r="39" spans="4:4" ht="15.75" customHeight="1" x14ac:dyDescent="0.2"/>
    <row r="40" spans="4:4" ht="15.75" customHeight="1" x14ac:dyDescent="0.2"/>
    <row r="41" spans="4:4" ht="15.75" customHeight="1" x14ac:dyDescent="0.2"/>
    <row r="42" spans="4:4" ht="15.75" customHeight="1" x14ac:dyDescent="0.2"/>
    <row r="43" spans="4:4" ht="15.75" customHeight="1" x14ac:dyDescent="0.2"/>
    <row r="44" spans="4:4" ht="15.75" customHeight="1" x14ac:dyDescent="0.2"/>
    <row r="45" spans="4:4" ht="15.75" customHeight="1" x14ac:dyDescent="0.2"/>
    <row r="46" spans="4:4" ht="15.75" customHeight="1" x14ac:dyDescent="0.2"/>
    <row r="47" spans="4:4" ht="15.75" customHeight="1" x14ac:dyDescent="0.2"/>
    <row r="48" spans="4: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D1"/>
  </mergeCells>
  <conditionalFormatting sqref="A6:D33">
    <cfRule type="expression" dxfId="0" priority="1">
      <formula>$D6=TRUE</formula>
    </cfRule>
  </conditionalFormatting>
  <dataValidations count="1">
    <dataValidation type="list" allowBlank="1" sqref="D6:D33" xr:uid="{00000000-0002-0000-0300-000000000000}">
      <formula1>"TRUE,FALSE"</formula1>
    </dataValidation>
  </dataValidations>
  <pageMargins left="0.75" right="0.75" top="1" bottom="1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D1"/>
    </sheetView>
  </sheetViews>
  <sheetFormatPr baseColWidth="10" defaultColWidth="14.5" defaultRowHeight="15" customHeight="1" x14ac:dyDescent="0.2"/>
  <cols>
    <col min="1" max="1" width="12" customWidth="1"/>
    <col min="2" max="2" width="14" customWidth="1"/>
    <col min="3" max="3" width="30" customWidth="1"/>
    <col min="4" max="4" width="15" customWidth="1"/>
    <col min="5" max="26" width="8.6640625" customWidth="1"/>
  </cols>
  <sheetData>
    <row r="1" spans="1:4" ht="21" x14ac:dyDescent="0.25">
      <c r="A1" s="22" t="s">
        <v>133</v>
      </c>
      <c r="B1" s="23"/>
      <c r="C1" s="23"/>
      <c r="D1" s="23"/>
    </row>
    <row r="2" spans="1:4" x14ac:dyDescent="0.2">
      <c r="A2" s="12" t="s">
        <v>129</v>
      </c>
      <c r="B2" s="12" t="s">
        <v>130</v>
      </c>
      <c r="C2" s="12" t="s">
        <v>131</v>
      </c>
      <c r="D2" s="12" t="s">
        <v>24</v>
      </c>
    </row>
    <row r="3" spans="1:4" ht="19" x14ac:dyDescent="0.25">
      <c r="A3" s="15">
        <f>IFERROR(-SUMIFS(Accounts!B2:B105,Accounts!A2:A105,"*JGW*",Accounts!C2:C105,"Liability"),0)</f>
        <v>-226.36</v>
      </c>
      <c r="B3" s="15">
        <f>SUMPRODUCT((D6:D200=TRUE)*(B6:B200&lt;0)*B6:B200)</f>
        <v>0</v>
      </c>
      <c r="C3" s="14">
        <f>SUMPRODUCT((D6:D200=TRUE)*(B6:B200&gt;0)*B6:B200)</f>
        <v>0</v>
      </c>
      <c r="D3" s="16">
        <f>A3+B3+C3</f>
        <v>-226.36</v>
      </c>
    </row>
    <row r="5" spans="1:4" ht="22.5" customHeight="1" x14ac:dyDescent="0.2">
      <c r="A5" s="17" t="s">
        <v>25</v>
      </c>
      <c r="B5" s="17" t="s">
        <v>26</v>
      </c>
      <c r="C5" s="17" t="s">
        <v>27</v>
      </c>
      <c r="D5" s="17" t="s">
        <v>28</v>
      </c>
    </row>
    <row r="6" spans="1:4" ht="22.5" customHeight="1" x14ac:dyDescent="0.2">
      <c r="D6" s="3"/>
    </row>
    <row r="7" spans="1:4" ht="22.5" customHeight="1" x14ac:dyDescent="0.2">
      <c r="D7" s="3"/>
    </row>
    <row r="8" spans="1:4" ht="22.5" customHeight="1" x14ac:dyDescent="0.2">
      <c r="D8" s="3"/>
    </row>
    <row r="9" spans="1:4" ht="22.5" customHeight="1" x14ac:dyDescent="0.2">
      <c r="D9" s="3"/>
    </row>
    <row r="10" spans="1:4" ht="22.5" customHeight="1" x14ac:dyDescent="0.2">
      <c r="D10" s="3"/>
    </row>
    <row r="11" spans="1:4" ht="22.5" customHeight="1" x14ac:dyDescent="0.2">
      <c r="D11" s="3"/>
    </row>
    <row r="12" spans="1:4" ht="22.5" customHeight="1" x14ac:dyDescent="0.2">
      <c r="D12" s="3"/>
    </row>
    <row r="13" spans="1:4" ht="22.5" customHeight="1" x14ac:dyDescent="0.2">
      <c r="D13" s="3"/>
    </row>
    <row r="14" spans="1:4" ht="22.5" customHeight="1" x14ac:dyDescent="0.2">
      <c r="D14" s="3"/>
    </row>
    <row r="15" spans="1:4" ht="22.5" customHeight="1" x14ac:dyDescent="0.2">
      <c r="D15" s="3"/>
    </row>
    <row r="16" spans="1:4" ht="22.5" customHeight="1" x14ac:dyDescent="0.2">
      <c r="D16" s="3"/>
    </row>
    <row r="17" spans="4:4" ht="22.5" customHeight="1" x14ac:dyDescent="0.2">
      <c r="D17" s="3"/>
    </row>
    <row r="18" spans="4:4" ht="22.5" customHeight="1" x14ac:dyDescent="0.2">
      <c r="D18" s="3"/>
    </row>
    <row r="19" spans="4:4" ht="22.5" customHeight="1" x14ac:dyDescent="0.2">
      <c r="D19" s="3"/>
    </row>
    <row r="20" spans="4:4" ht="22.5" customHeight="1" x14ac:dyDescent="0.2">
      <c r="D20" s="3"/>
    </row>
    <row r="21" spans="4:4" ht="15.75" customHeight="1" x14ac:dyDescent="0.2">
      <c r="D21" s="3"/>
    </row>
    <row r="22" spans="4:4" ht="15.75" customHeight="1" x14ac:dyDescent="0.2">
      <c r="D22" s="3"/>
    </row>
    <row r="23" spans="4:4" ht="15.75" customHeight="1" x14ac:dyDescent="0.2">
      <c r="D23" s="3"/>
    </row>
    <row r="24" spans="4:4" ht="15.75" customHeight="1" x14ac:dyDescent="0.2">
      <c r="D24" s="3"/>
    </row>
    <row r="25" spans="4:4" ht="15.75" customHeight="1" x14ac:dyDescent="0.2">
      <c r="D25" s="3"/>
    </row>
    <row r="26" spans="4:4" ht="15.75" customHeight="1" x14ac:dyDescent="0.2">
      <c r="D26" s="3"/>
    </row>
    <row r="27" spans="4:4" ht="15.75" customHeight="1" x14ac:dyDescent="0.2">
      <c r="D27" s="3"/>
    </row>
    <row r="28" spans="4:4" ht="15.75" customHeight="1" x14ac:dyDescent="0.2">
      <c r="D28" s="3"/>
    </row>
    <row r="29" spans="4:4" ht="15.75" customHeight="1" x14ac:dyDescent="0.2">
      <c r="D29" s="3"/>
    </row>
    <row r="30" spans="4:4" ht="15.75" customHeight="1" x14ac:dyDescent="0.2">
      <c r="D30" s="3"/>
    </row>
    <row r="31" spans="4:4" ht="15.75" customHeight="1" x14ac:dyDescent="0.2">
      <c r="D31" s="3"/>
    </row>
    <row r="32" spans="4:4" ht="15.75" customHeight="1" x14ac:dyDescent="0.2">
      <c r="D32" s="3"/>
    </row>
    <row r="33" spans="4:4" ht="15.75" customHeight="1" x14ac:dyDescent="0.2">
      <c r="D33" s="3"/>
    </row>
    <row r="34" spans="4:4" ht="15.75" customHeight="1" x14ac:dyDescent="0.2"/>
    <row r="35" spans="4:4" ht="15.75" customHeight="1" x14ac:dyDescent="0.2"/>
    <row r="36" spans="4:4" ht="15.75" customHeight="1" x14ac:dyDescent="0.2"/>
    <row r="37" spans="4:4" ht="15.75" customHeight="1" x14ac:dyDescent="0.2"/>
    <row r="38" spans="4:4" ht="15.75" customHeight="1" x14ac:dyDescent="0.2"/>
    <row r="39" spans="4:4" ht="15.75" customHeight="1" x14ac:dyDescent="0.2"/>
    <row r="40" spans="4:4" ht="15.75" customHeight="1" x14ac:dyDescent="0.2"/>
    <row r="41" spans="4:4" ht="15.75" customHeight="1" x14ac:dyDescent="0.2"/>
    <row r="42" spans="4:4" ht="15.75" customHeight="1" x14ac:dyDescent="0.2"/>
    <row r="43" spans="4:4" ht="15.75" customHeight="1" x14ac:dyDescent="0.2"/>
    <row r="44" spans="4:4" ht="15.75" customHeight="1" x14ac:dyDescent="0.2"/>
    <row r="45" spans="4:4" ht="15.75" customHeight="1" x14ac:dyDescent="0.2"/>
    <row r="46" spans="4:4" ht="15.75" customHeight="1" x14ac:dyDescent="0.2"/>
    <row r="47" spans="4:4" ht="15.75" customHeight="1" x14ac:dyDescent="0.2"/>
    <row r="48" spans="4: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D1"/>
  </mergeCells>
  <dataValidations count="1">
    <dataValidation type="list" allowBlank="1" sqref="D6:D33" xr:uid="{00000000-0002-0000-0400-000000000000}">
      <formula1>"TRUE,FALSE"</formula1>
    </dataValidation>
  </dataValidations>
  <pageMargins left="0.75" right="0.75" top="1" bottom="1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>
      <selection sqref="A1:D1"/>
    </sheetView>
  </sheetViews>
  <sheetFormatPr baseColWidth="10" defaultColWidth="14.5" defaultRowHeight="15" customHeight="1" x14ac:dyDescent="0.2"/>
  <cols>
    <col min="1" max="1" width="12" customWidth="1"/>
    <col min="2" max="2" width="14" customWidth="1"/>
    <col min="3" max="3" width="30" customWidth="1"/>
    <col min="4" max="4" width="15" customWidth="1"/>
    <col min="5" max="26" width="8.6640625" customWidth="1"/>
  </cols>
  <sheetData>
    <row r="1" spans="1:4" ht="21" x14ac:dyDescent="0.25">
      <c r="A1" s="22" t="s">
        <v>134</v>
      </c>
      <c r="B1" s="23"/>
      <c r="C1" s="23"/>
      <c r="D1" s="23"/>
    </row>
    <row r="2" spans="1:4" x14ac:dyDescent="0.2">
      <c r="A2" s="12" t="s">
        <v>129</v>
      </c>
      <c r="B2" s="12" t="s">
        <v>130</v>
      </c>
      <c r="C2" s="12" t="s">
        <v>131</v>
      </c>
      <c r="D2" s="12" t="s">
        <v>24</v>
      </c>
    </row>
    <row r="3" spans="1:4" ht="19" x14ac:dyDescent="0.25">
      <c r="A3" s="15">
        <f>IFERROR(-SUMIFS(Accounts!B2:B105,Accounts!A2:A105,"*SAMS*",Accounts!C2:C105,"Liability"),0)</f>
        <v>0</v>
      </c>
      <c r="B3" s="15">
        <f>SUMPRODUCT((D6:D200=TRUE)*(B6:B200&lt;0)*B6:B200)</f>
        <v>0</v>
      </c>
      <c r="C3" s="14">
        <f>SUMPRODUCT((D6:D200=TRUE)*(B6:B200&gt;0)*B6:B200)</f>
        <v>0</v>
      </c>
      <c r="D3" s="16">
        <f>A3+B3+C3</f>
        <v>0</v>
      </c>
    </row>
    <row r="5" spans="1:4" ht="22.5" customHeight="1" x14ac:dyDescent="0.2">
      <c r="A5" s="17" t="s">
        <v>25</v>
      </c>
      <c r="B5" s="17" t="s">
        <v>26</v>
      </c>
      <c r="C5" s="17" t="s">
        <v>27</v>
      </c>
      <c r="D5" s="17" t="s">
        <v>28</v>
      </c>
    </row>
    <row r="6" spans="1:4" ht="22.5" customHeight="1" x14ac:dyDescent="0.2">
      <c r="D6" s="3"/>
    </row>
    <row r="7" spans="1:4" ht="22.5" customHeight="1" x14ac:dyDescent="0.2">
      <c r="D7" s="3"/>
    </row>
    <row r="8" spans="1:4" ht="22.5" customHeight="1" x14ac:dyDescent="0.2">
      <c r="D8" s="3"/>
    </row>
    <row r="9" spans="1:4" ht="22.5" customHeight="1" x14ac:dyDescent="0.2">
      <c r="D9" s="3"/>
    </row>
    <row r="10" spans="1:4" ht="22.5" customHeight="1" x14ac:dyDescent="0.2">
      <c r="D10" s="3"/>
    </row>
    <row r="11" spans="1:4" ht="22.5" customHeight="1" x14ac:dyDescent="0.2">
      <c r="D11" s="3"/>
    </row>
    <row r="12" spans="1:4" ht="22.5" customHeight="1" x14ac:dyDescent="0.2">
      <c r="D12" s="3"/>
    </row>
    <row r="13" spans="1:4" ht="22.5" customHeight="1" x14ac:dyDescent="0.2">
      <c r="D13" s="3"/>
    </row>
    <row r="14" spans="1:4" ht="22.5" customHeight="1" x14ac:dyDescent="0.2">
      <c r="D14" s="3"/>
    </row>
    <row r="15" spans="1:4" ht="22.5" customHeight="1" x14ac:dyDescent="0.2">
      <c r="D15" s="3"/>
    </row>
    <row r="16" spans="1:4" ht="22.5" customHeight="1" x14ac:dyDescent="0.2">
      <c r="D16" s="3"/>
    </row>
    <row r="17" spans="4:4" ht="22.5" customHeight="1" x14ac:dyDescent="0.2">
      <c r="D17" s="3"/>
    </row>
    <row r="18" spans="4:4" ht="22.5" customHeight="1" x14ac:dyDescent="0.2">
      <c r="D18" s="3"/>
    </row>
    <row r="19" spans="4:4" ht="22.5" customHeight="1" x14ac:dyDescent="0.2">
      <c r="D19" s="3"/>
    </row>
    <row r="20" spans="4:4" ht="22.5" customHeight="1" x14ac:dyDescent="0.2">
      <c r="D20" s="3"/>
    </row>
    <row r="21" spans="4:4" ht="15.75" customHeight="1" x14ac:dyDescent="0.2">
      <c r="D21" s="3"/>
    </row>
    <row r="22" spans="4:4" ht="15.75" customHeight="1" x14ac:dyDescent="0.2">
      <c r="D22" s="3"/>
    </row>
    <row r="23" spans="4:4" ht="15.75" customHeight="1" x14ac:dyDescent="0.2">
      <c r="D23" s="3"/>
    </row>
    <row r="24" spans="4:4" ht="15.75" customHeight="1" x14ac:dyDescent="0.2">
      <c r="D24" s="3"/>
    </row>
    <row r="25" spans="4:4" ht="15.75" customHeight="1" x14ac:dyDescent="0.2">
      <c r="D25" s="3"/>
    </row>
    <row r="26" spans="4:4" ht="15.75" customHeight="1" x14ac:dyDescent="0.2">
      <c r="D26" s="3"/>
    </row>
    <row r="27" spans="4:4" ht="15.75" customHeight="1" x14ac:dyDescent="0.2">
      <c r="D27" s="3"/>
    </row>
    <row r="28" spans="4:4" ht="15.75" customHeight="1" x14ac:dyDescent="0.2">
      <c r="D28" s="3"/>
    </row>
    <row r="29" spans="4:4" ht="15.75" customHeight="1" x14ac:dyDescent="0.2">
      <c r="D29" s="3"/>
    </row>
    <row r="30" spans="4:4" ht="15.75" customHeight="1" x14ac:dyDescent="0.2">
      <c r="D30" s="3"/>
    </row>
    <row r="31" spans="4:4" ht="15.75" customHeight="1" x14ac:dyDescent="0.2">
      <c r="D31" s="3"/>
    </row>
    <row r="32" spans="4:4" ht="15.75" customHeight="1" x14ac:dyDescent="0.2">
      <c r="D32" s="3"/>
    </row>
    <row r="33" spans="4:4" ht="15.75" customHeight="1" x14ac:dyDescent="0.2">
      <c r="D33" s="3"/>
    </row>
    <row r="34" spans="4:4" ht="15.75" customHeight="1" x14ac:dyDescent="0.2"/>
    <row r="35" spans="4:4" ht="15.75" customHeight="1" x14ac:dyDescent="0.2"/>
    <row r="36" spans="4:4" ht="15.75" customHeight="1" x14ac:dyDescent="0.2"/>
    <row r="37" spans="4:4" ht="15.75" customHeight="1" x14ac:dyDescent="0.2"/>
    <row r="38" spans="4:4" ht="15.75" customHeight="1" x14ac:dyDescent="0.2"/>
    <row r="39" spans="4:4" ht="15.75" customHeight="1" x14ac:dyDescent="0.2"/>
    <row r="40" spans="4:4" ht="15.75" customHeight="1" x14ac:dyDescent="0.2"/>
    <row r="41" spans="4:4" ht="15.75" customHeight="1" x14ac:dyDescent="0.2"/>
    <row r="42" spans="4:4" ht="15.75" customHeight="1" x14ac:dyDescent="0.2"/>
    <row r="43" spans="4:4" ht="15.75" customHeight="1" x14ac:dyDescent="0.2"/>
    <row r="44" spans="4:4" ht="15.75" customHeight="1" x14ac:dyDescent="0.2"/>
    <row r="45" spans="4:4" ht="15.75" customHeight="1" x14ac:dyDescent="0.2"/>
    <row r="46" spans="4:4" ht="15.75" customHeight="1" x14ac:dyDescent="0.2"/>
    <row r="47" spans="4:4" ht="15.75" customHeight="1" x14ac:dyDescent="0.2"/>
    <row r="48" spans="4: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D1"/>
  </mergeCells>
  <dataValidations count="1">
    <dataValidation type="list" allowBlank="1" sqref="D6:D33" xr:uid="{00000000-0002-0000-0500-000000000000}">
      <formula1>"TRUE,FALSE"</formula1>
    </dataValidation>
  </dataValidations>
  <pageMargins left="0.75" right="0.75" top="1" bottom="1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Accounts</vt:lpstr>
      <vt:lpstr>Workbench</vt:lpstr>
      <vt:lpstr>Bill Schedule</vt:lpstr>
      <vt:lpstr>CC - CMW (3619)</vt:lpstr>
      <vt:lpstr>CC - JGW (9299)</vt:lpstr>
      <vt:lpstr>CC - SAMS (1261)</vt:lpstr>
      <vt:lpstr>Accounts</vt:lpstr>
      <vt:lpstr>WorkbenchBalance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Chrys Wilson</cp:lastModifiedBy>
  <dcterms:created xsi:type="dcterms:W3CDTF">2026-05-05T02:01:28Z</dcterms:created>
  <dcterms:modified xsi:type="dcterms:W3CDTF">2026-05-05T12:05:39Z</dcterms:modified>
</cp:coreProperties>
</file>