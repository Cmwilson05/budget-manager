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ounts" sheetId="1" state="visible" r:id="rId1"/>
    <sheet name="Main Workbench" sheetId="2" state="visible" r:id="rId2"/>
    <sheet name="CC - CMW (3619)" sheetId="3" state="visible" r:id="rId3"/>
    <sheet name="CC - JGW (9299)" sheetId="4" state="visible" r:id="rId4"/>
    <sheet name="CC - SAMS (1261)" sheetId="5" state="visible" r:id="rId5"/>
    <sheet name="Bill Schedule" sheetId="6" state="visible" r:id="rId6"/>
  </sheets>
  <definedNames>
    <definedName name="WorkbenchBalance">Accounts!$B$13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M/D/YY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sz val="12"/>
    </font>
    <font>
      <b val="1"/>
      <sz val="14"/>
    </font>
    <font>
      <b val="1"/>
      <color rgb="001F4E79"/>
      <sz val="12"/>
    </font>
    <font>
      <b val="1"/>
      <color rgb="00FFFFFF"/>
      <sz val="16"/>
    </font>
    <font>
      <b val="1"/>
      <color rgb="00FFFFFF"/>
      <sz val="10"/>
    </font>
    <font>
      <b val="1"/>
      <color rgb="00FFFFFF"/>
      <sz val="14"/>
    </font>
    <font>
      <b val="1"/>
      <color rgb="0000B894"/>
      <sz val="14"/>
    </font>
    <font>
      <b val="1"/>
      <color rgb="00D63031"/>
      <sz val="14"/>
    </font>
    <font>
      <b val="1"/>
      <color rgb="0074B9FF"/>
      <sz val="14"/>
    </font>
    <font>
      <color rgb="00D63031"/>
    </font>
    <font>
      <color rgb="0000B894"/>
    </font>
  </fonts>
  <fills count="6">
    <fill>
      <patternFill/>
    </fill>
    <fill>
      <patternFill patternType="gray125"/>
    </fill>
    <fill>
      <patternFill patternType="solid">
        <fgColor rgb="00E2EFDA"/>
        <bgColor rgb="00E2EFDA"/>
      </patternFill>
    </fill>
    <fill>
      <patternFill patternType="solid">
        <fgColor rgb="00FDE9D9"/>
        <bgColor rgb="00FDE9D9"/>
      </patternFill>
    </fill>
    <fill>
      <patternFill patternType="solid">
        <fgColor rgb="002D3436"/>
        <bgColor rgb="002D3436"/>
      </patternFill>
    </fill>
    <fill>
      <patternFill patternType="solid">
        <fgColor rgb="00D6DCE4"/>
        <bgColor rgb="00D6DCE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0" fontId="0" fillId="3" borderId="1" pivotButton="0" quotePrefix="0" xfId="0"/>
    <xf numFmtId="4" fontId="0" fillId="3" borderId="1" pivotButton="0" quotePrefix="0" xfId="0"/>
    <xf numFmtId="0" fontId="2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4" borderId="0" applyAlignment="1" pivotButton="0" quotePrefix="0" xfId="0">
      <alignment horizontal="center"/>
    </xf>
    <xf numFmtId="0" fontId="0" fillId="4" borderId="0" pivotButton="0" quotePrefix="0" xfId="0"/>
    <xf numFmtId="0" fontId="6" fillId="4" borderId="0" applyAlignment="1" pivotButton="0" quotePrefix="0" xfId="0">
      <alignment horizontal="center"/>
    </xf>
    <xf numFmtId="164" fontId="7" fillId="4" borderId="0" applyAlignment="1" pivotButton="0" quotePrefix="0" xfId="0">
      <alignment horizontal="center"/>
    </xf>
    <xf numFmtId="164" fontId="8" fillId="4" borderId="0" applyAlignment="1" pivotButton="0" quotePrefix="0" xfId="0">
      <alignment horizontal="center"/>
    </xf>
    <xf numFmtId="164" fontId="9" fillId="4" borderId="0" applyAlignment="1" pivotButton="0" quotePrefix="0" xfId="0">
      <alignment horizontal="center"/>
    </xf>
    <xf numFmtId="164" fontId="10" fillId="4" borderId="0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6" fontId="0" fillId="0" borderId="1" pivotButton="0" quotePrefix="0" xfId="0"/>
    <xf numFmtId="164" fontId="11" fillId="0" borderId="1" pivotButton="0" quotePrefix="0" xfId="0"/>
    <xf numFmtId="164" fontId="12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2F2F2"/>
          <bgColor rgb="00F2F2F2"/>
        </patternFill>
      </fill>
    </dxf>
    <dxf>
      <fill>
        <patternFill patternType="solid">
          <fgColor rgb="00FADBD8"/>
          <bgColor rgb="00FADBD8"/>
        </patternFill>
      </fill>
    </dxf>
    <dxf>
      <fill>
        <patternFill patternType="solid">
          <fgColor rgb="00FEF9E7"/>
          <bgColor rgb="00FEF9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20" customWidth="1" min="4" max="4"/>
  </cols>
  <sheetData>
    <row r="1">
      <c r="A1" s="1" t="inlineStr">
        <is>
          <t>Name</t>
        </is>
      </c>
      <c r="B1" s="1" t="inlineStr">
        <is>
          <t>Balance</t>
        </is>
      </c>
      <c r="C1" s="1" t="inlineStr">
        <is>
          <t>Type</t>
        </is>
      </c>
      <c r="D1" s="1" t="inlineStr">
        <is>
          <t>Include in Workbench?</t>
        </is>
      </c>
    </row>
    <row r="2">
      <c r="A2" s="2" t="inlineStr">
        <is>
          <t>Checking Account</t>
        </is>
      </c>
      <c r="B2" s="3" t="n">
        <v>4500</v>
      </c>
      <c r="C2" s="2" t="inlineStr">
        <is>
          <t>Asset</t>
        </is>
      </c>
      <c r="D2" s="2" t="b">
        <v>1</v>
      </c>
    </row>
    <row r="3">
      <c r="A3" s="2" t="inlineStr">
        <is>
          <t>Savings Account</t>
        </is>
      </c>
      <c r="B3" s="3" t="n">
        <v>12000</v>
      </c>
      <c r="C3" s="2" t="inlineStr">
        <is>
          <t>Asset</t>
        </is>
      </c>
      <c r="D3" s="2" t="b">
        <v>1</v>
      </c>
    </row>
    <row r="4">
      <c r="A4" s="2" t="inlineStr">
        <is>
          <t>Venmo</t>
        </is>
      </c>
      <c r="B4" s="3" t="n">
        <v>350</v>
      </c>
      <c r="C4" s="2" t="inlineStr">
        <is>
          <t>Asset</t>
        </is>
      </c>
      <c r="D4" s="2" t="b">
        <v>1</v>
      </c>
    </row>
    <row r="5">
      <c r="A5" s="4" t="inlineStr">
        <is>
          <t>Credit Card - CMW (3619)</t>
        </is>
      </c>
      <c r="B5" s="5" t="n">
        <v>1200</v>
      </c>
      <c r="C5" s="4" t="inlineStr">
        <is>
          <t>Liability</t>
        </is>
      </c>
      <c r="D5" s="4" t="b">
        <v>1</v>
      </c>
    </row>
    <row r="6">
      <c r="A6" s="4" t="inlineStr">
        <is>
          <t>Credit Card - JGW (9299)</t>
        </is>
      </c>
      <c r="B6" s="5" t="n">
        <v>800</v>
      </c>
      <c r="C6" s="4" t="inlineStr">
        <is>
          <t>Liability</t>
        </is>
      </c>
      <c r="D6" s="4" t="b">
        <v>1</v>
      </c>
    </row>
    <row r="7">
      <c r="A7" s="4" t="inlineStr">
        <is>
          <t>Credit Card - SAMS (1261)</t>
        </is>
      </c>
      <c r="B7" s="5" t="n">
        <v>450</v>
      </c>
      <c r="C7" s="4" t="inlineStr">
        <is>
          <t>Liability</t>
        </is>
      </c>
      <c r="D7" s="4" t="b">
        <v>1</v>
      </c>
    </row>
    <row r="9">
      <c r="A9" s="6" t="inlineStr">
        <is>
          <t>Total Assets</t>
        </is>
      </c>
      <c r="B9" s="7">
        <f>SUMIFS(B2:B100,C2:C100,"Asset")</f>
        <v/>
      </c>
    </row>
    <row r="10">
      <c r="A10" s="6" t="inlineStr">
        <is>
          <t>Total Liabilities</t>
        </is>
      </c>
      <c r="B10" s="7">
        <f>SUMIFS(B2:B100,C2:C100,"Liability")</f>
        <v/>
      </c>
    </row>
    <row r="11">
      <c r="A11" s="8" t="inlineStr">
        <is>
          <t>Net Worth</t>
        </is>
      </c>
      <c r="B11" s="9">
        <f>B9-B10</f>
        <v/>
      </c>
    </row>
    <row r="13">
      <c r="A13" s="10" t="inlineStr">
        <is>
          <t>Workbench Starting Balance</t>
        </is>
      </c>
      <c r="B13" s="11">
        <f>SUMIFS(B2:B100,C2:C100,"Asset",D2:D100,TRUE)-SUMIFS(B2:B100,C2:C100,"Liability",D2:D100,TRUE)</f>
        <v/>
      </c>
    </row>
  </sheetData>
  <dataValidations count="2">
    <dataValidation sqref="C2:C100" showDropDown="0" showInputMessage="0" showErrorMessage="0" allowBlank="0" error="Must be Asset or Liability" type="list">
      <formula1>"Asset,Liability"</formula1>
    </dataValidation>
    <dataValidation sqref="D2:D1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15" customWidth="1" min="4" max="4"/>
  </cols>
  <sheetData>
    <row r="1">
      <c r="A1" s="12" t="inlineStr">
        <is>
          <t>Main Cash Flow</t>
        </is>
      </c>
      <c r="B1" s="13" t="n"/>
      <c r="C1" s="13" t="n"/>
      <c r="D1" s="13" t="n"/>
    </row>
    <row r="2">
      <c r="A2" s="14" t="inlineStr">
        <is>
          <t>Current</t>
        </is>
      </c>
      <c r="B2" s="14" t="inlineStr">
        <is>
          <t>Income</t>
        </is>
      </c>
      <c r="C2" s="14" t="inlineStr">
        <is>
          <t>Expenses</t>
        </is>
      </c>
      <c r="D2" s="14" t="inlineStr">
        <is>
          <t>Projected</t>
        </is>
      </c>
    </row>
    <row r="3">
      <c r="A3" s="15">
        <f>Accounts!B13</f>
        <v/>
      </c>
      <c r="B3" s="16">
        <f>SUMPRODUCT((A6:A200=TRUE)*(D6:D200&gt;0)*D6:D200)</f>
        <v/>
      </c>
      <c r="C3" s="17">
        <f>SUMPRODUCT((A6:A200=TRUE)*(D6:D200&lt;0)*D6:D200)</f>
        <v/>
      </c>
      <c r="D3" s="18">
        <f>A3+B3+C3</f>
        <v/>
      </c>
    </row>
    <row r="5">
      <c r="A5" s="19" t="inlineStr">
        <is>
          <t>In Calc?</t>
        </is>
      </c>
      <c r="B5" s="19" t="inlineStr">
        <is>
          <t>Due Date</t>
        </is>
      </c>
      <c r="C5" s="19" t="inlineStr">
        <is>
          <t>Description</t>
        </is>
      </c>
      <c r="D5" s="19" t="inlineStr">
        <is>
          <t>Amount</t>
        </is>
      </c>
    </row>
    <row r="6">
      <c r="A6" s="20" t="b">
        <v>1</v>
      </c>
      <c r="B6" s="21" t="n">
        <v>46174</v>
      </c>
      <c r="C6" s="2" t="inlineStr">
        <is>
          <t>Rent / Mortgage</t>
        </is>
      </c>
      <c r="D6" s="22" t="n">
        <v>-1800</v>
      </c>
    </row>
    <row r="7">
      <c r="A7" s="20" t="b">
        <v>1</v>
      </c>
      <c r="B7" s="21" t="n">
        <v>46178</v>
      </c>
      <c r="C7" s="2" t="inlineStr">
        <is>
          <t>Paycheck</t>
        </is>
      </c>
      <c r="D7" s="23" t="n">
        <v>2800</v>
      </c>
    </row>
    <row r="8">
      <c r="A8" s="20" t="b">
        <v>1</v>
      </c>
      <c r="B8" s="21" t="n">
        <v>46185</v>
      </c>
      <c r="C8" s="2" t="inlineStr">
        <is>
          <t>Electric Bill</t>
        </is>
      </c>
      <c r="D8" s="22" t="n">
        <v>-145</v>
      </c>
    </row>
    <row r="9">
      <c r="A9" s="20" t="b">
        <v>1</v>
      </c>
      <c r="B9" s="21" t="n">
        <v>46188</v>
      </c>
      <c r="C9" s="2" t="inlineStr">
        <is>
          <t>Paycheck</t>
        </is>
      </c>
      <c r="D9" s="23" t="n">
        <v>2800</v>
      </c>
    </row>
    <row r="10">
      <c r="A10" s="20" t="b">
        <v>0</v>
      </c>
      <c r="B10" s="21" t="n">
        <v>46193</v>
      </c>
      <c r="C10" s="2" t="inlineStr">
        <is>
          <t>New Furniture (planning)</t>
        </is>
      </c>
      <c r="D10" s="22" t="n">
        <v>-600</v>
      </c>
    </row>
    <row r="11">
      <c r="A11" s="20" t="b">
        <v>1</v>
      </c>
      <c r="B11" s="21" t="n">
        <v>46198</v>
      </c>
      <c r="C11" s="2" t="inlineStr">
        <is>
          <t>Internet</t>
        </is>
      </c>
      <c r="D11" s="22" t="n">
        <v>-79.98999999999999</v>
      </c>
    </row>
  </sheetData>
  <mergeCells count="1">
    <mergeCell ref="A1:D1"/>
  </mergeCells>
  <conditionalFormatting sqref="A6:D200">
    <cfRule type="expression" priority="1" dxfId="0">
      <formula>$A6=FALSE</formula>
    </cfRule>
  </conditionalFormatting>
  <dataValidations count="1">
    <dataValidation sqref="A6:A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15" customWidth="1" min="4" max="4"/>
  </cols>
  <sheetData>
    <row r="1">
      <c r="A1" s="12" t="inlineStr">
        <is>
          <t>Credit Card - CMW (3619)</t>
        </is>
      </c>
      <c r="B1" s="13" t="n"/>
      <c r="C1" s="13" t="n"/>
      <c r="D1" s="13" t="n"/>
    </row>
    <row r="2">
      <c r="A2" s="14" t="inlineStr">
        <is>
          <t>Balance Owed</t>
        </is>
      </c>
      <c r="B2" s="14" t="inlineStr">
        <is>
          <t>Charges</t>
        </is>
      </c>
      <c r="C2" s="14" t="inlineStr">
        <is>
          <t>Payments</t>
        </is>
      </c>
      <c r="D2" s="14" t="inlineStr">
        <is>
          <t>Projected</t>
        </is>
      </c>
    </row>
    <row r="3">
      <c r="A3" s="17">
        <f>IFERROR(-SUMIFS(Accounts!B2:B100,Accounts!A2:A100,"*CMW*",Accounts!C2:C100,"Liability"),0)</f>
        <v/>
      </c>
      <c r="B3" s="17">
        <f>SUMPRODUCT((A6:A200=TRUE)*(D6:D200&lt;0)*D6:D200)</f>
        <v/>
      </c>
      <c r="C3" s="16">
        <f>SUMPRODUCT((A6:A200=TRUE)*(D6:D200&gt;0)*D6:D200)</f>
        <v/>
      </c>
      <c r="D3" s="18">
        <f>A3+B3+C3</f>
        <v/>
      </c>
    </row>
    <row r="5">
      <c r="A5" s="19" t="inlineStr">
        <is>
          <t>In Calc?</t>
        </is>
      </c>
      <c r="B5" s="19" t="inlineStr">
        <is>
          <t>Due Date</t>
        </is>
      </c>
      <c r="C5" s="19" t="inlineStr">
        <is>
          <t>Description</t>
        </is>
      </c>
      <c r="D5" s="19" t="inlineStr">
        <is>
          <t>Amount</t>
        </is>
      </c>
    </row>
  </sheetData>
  <mergeCells count="1">
    <mergeCell ref="A1:D1"/>
  </mergeCells>
  <conditionalFormatting sqref="A6:D200">
    <cfRule type="expression" priority="1" dxfId="0">
      <formula>$A6=FALSE</formula>
    </cfRule>
  </conditionalFormatting>
  <dataValidations count="1">
    <dataValidation sqref="A6:A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15" customWidth="1" min="4" max="4"/>
  </cols>
  <sheetData>
    <row r="1">
      <c r="A1" s="12" t="inlineStr">
        <is>
          <t>Credit Card - JGW (9299)</t>
        </is>
      </c>
      <c r="B1" s="13" t="n"/>
      <c r="C1" s="13" t="n"/>
      <c r="D1" s="13" t="n"/>
    </row>
    <row r="2">
      <c r="A2" s="14" t="inlineStr">
        <is>
          <t>Balance Owed</t>
        </is>
      </c>
      <c r="B2" s="14" t="inlineStr">
        <is>
          <t>Charges</t>
        </is>
      </c>
      <c r="C2" s="14" t="inlineStr">
        <is>
          <t>Payments</t>
        </is>
      </c>
      <c r="D2" s="14" t="inlineStr">
        <is>
          <t>Projected</t>
        </is>
      </c>
    </row>
    <row r="3">
      <c r="A3" s="17">
        <f>IFERROR(-SUMIFS(Accounts!B2:B100,Accounts!A2:A100,"*JGW*",Accounts!C2:C100,"Liability"),0)</f>
        <v/>
      </c>
      <c r="B3" s="17">
        <f>SUMPRODUCT((A6:A200=TRUE)*(D6:D200&lt;0)*D6:D200)</f>
        <v/>
      </c>
      <c r="C3" s="16">
        <f>SUMPRODUCT((A6:A200=TRUE)*(D6:D200&gt;0)*D6:D200)</f>
        <v/>
      </c>
      <c r="D3" s="18">
        <f>A3+B3+C3</f>
        <v/>
      </c>
    </row>
    <row r="5">
      <c r="A5" s="19" t="inlineStr">
        <is>
          <t>In Calc?</t>
        </is>
      </c>
      <c r="B5" s="19" t="inlineStr">
        <is>
          <t>Due Date</t>
        </is>
      </c>
      <c r="C5" s="19" t="inlineStr">
        <is>
          <t>Description</t>
        </is>
      </c>
      <c r="D5" s="19" t="inlineStr">
        <is>
          <t>Amount</t>
        </is>
      </c>
    </row>
  </sheetData>
  <mergeCells count="1">
    <mergeCell ref="A1:D1"/>
  </mergeCells>
  <conditionalFormatting sqref="A6:D200">
    <cfRule type="expression" priority="1" dxfId="0">
      <formula>$A6=FALSE</formula>
    </cfRule>
  </conditionalFormatting>
  <dataValidations count="1">
    <dataValidation sqref="A6:A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15" customWidth="1" min="4" max="4"/>
  </cols>
  <sheetData>
    <row r="1">
      <c r="A1" s="12" t="inlineStr">
        <is>
          <t>Credit Card - SAMS (1261)</t>
        </is>
      </c>
      <c r="B1" s="13" t="n"/>
      <c r="C1" s="13" t="n"/>
      <c r="D1" s="13" t="n"/>
    </row>
    <row r="2">
      <c r="A2" s="14" t="inlineStr">
        <is>
          <t>Balance Owed</t>
        </is>
      </c>
      <c r="B2" s="14" t="inlineStr">
        <is>
          <t>Charges</t>
        </is>
      </c>
      <c r="C2" s="14" t="inlineStr">
        <is>
          <t>Payments</t>
        </is>
      </c>
      <c r="D2" s="14" t="inlineStr">
        <is>
          <t>Projected</t>
        </is>
      </c>
    </row>
    <row r="3">
      <c r="A3" s="17">
        <f>IFERROR(-SUMIFS(Accounts!B2:B100,Accounts!A2:A100,"*SAMS*",Accounts!C2:C100,"Liability"),0)</f>
        <v/>
      </c>
      <c r="B3" s="17">
        <f>SUMPRODUCT((A6:A200=TRUE)*(D6:D200&lt;0)*D6:D200)</f>
        <v/>
      </c>
      <c r="C3" s="16">
        <f>SUMPRODUCT((A6:A200=TRUE)*(D6:D200&gt;0)*D6:D200)</f>
        <v/>
      </c>
      <c r="D3" s="18">
        <f>A3+B3+C3</f>
        <v/>
      </c>
    </row>
    <row r="5">
      <c r="A5" s="19" t="inlineStr">
        <is>
          <t>In Calc?</t>
        </is>
      </c>
      <c r="B5" s="19" t="inlineStr">
        <is>
          <t>Due Date</t>
        </is>
      </c>
      <c r="C5" s="19" t="inlineStr">
        <is>
          <t>Description</t>
        </is>
      </c>
      <c r="D5" s="19" t="inlineStr">
        <is>
          <t>Amount</t>
        </is>
      </c>
    </row>
  </sheetData>
  <mergeCells count="1">
    <mergeCell ref="A1:D1"/>
  </mergeCells>
  <conditionalFormatting sqref="A6:D200">
    <cfRule type="expression" priority="1" dxfId="0">
      <formula>$A6=FALSE</formula>
    </cfRule>
  </conditionalFormatting>
  <dataValidations count="1">
    <dataValidation sqref="A6:A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Name</t>
        </is>
      </c>
      <c r="B1" s="1" t="inlineStr">
        <is>
          <t>Amount</t>
        </is>
      </c>
      <c r="C1" s="1" t="inlineStr">
        <is>
          <t>Frequency</t>
        </is>
      </c>
      <c r="D1" s="1" t="inlineStr">
        <is>
          <t>Next Due</t>
        </is>
      </c>
      <c r="E1" s="1" t="inlineStr">
        <is>
          <t>Last Paid</t>
        </is>
      </c>
    </row>
    <row r="2">
      <c r="A2" s="2" t="inlineStr">
        <is>
          <t>Mortgage</t>
        </is>
      </c>
      <c r="B2" s="3" t="n">
        <v>1800</v>
      </c>
      <c r="C2" s="2" t="inlineStr">
        <is>
          <t>Monthly</t>
        </is>
      </c>
      <c r="D2" s="21" t="n">
        <v>46174</v>
      </c>
      <c r="E2" s="21" t="n">
        <v>46143</v>
      </c>
    </row>
    <row r="3">
      <c r="A3" s="2" t="inlineStr">
        <is>
          <t>Electric</t>
        </is>
      </c>
      <c r="B3" s="3" t="n">
        <v>145</v>
      </c>
      <c r="C3" s="2" t="inlineStr">
        <is>
          <t>Monthly</t>
        </is>
      </c>
      <c r="D3" s="21" t="n">
        <v>46185</v>
      </c>
      <c r="E3" s="21" t="n">
        <v>46154</v>
      </c>
    </row>
    <row r="4">
      <c r="A4" s="2" t="inlineStr">
        <is>
          <t>Internet</t>
        </is>
      </c>
      <c r="B4" s="3" t="n">
        <v>79.98999999999999</v>
      </c>
      <c r="C4" s="2" t="inlineStr">
        <is>
          <t>Monthly</t>
        </is>
      </c>
      <c r="D4" s="21" t="n">
        <v>46198</v>
      </c>
      <c r="E4" s="21" t="n">
        <v>46167</v>
      </c>
    </row>
    <row r="5">
      <c r="A5" s="2" t="inlineStr">
        <is>
          <t>Netflix</t>
        </is>
      </c>
      <c r="B5" s="3" t="n">
        <v>15.99</v>
      </c>
      <c r="C5" s="2" t="inlineStr">
        <is>
          <t>Monthly</t>
        </is>
      </c>
      <c r="D5" s="21" t="n">
        <v>46181</v>
      </c>
      <c r="E5" s="21" t="n">
        <v>46150</v>
      </c>
    </row>
    <row r="6">
      <c r="A6" s="2" t="inlineStr">
        <is>
          <t>Spotify</t>
        </is>
      </c>
      <c r="B6" s="3" t="n">
        <v>11.99</v>
      </c>
      <c r="C6" s="2" t="inlineStr">
        <is>
          <t>Monthly</t>
        </is>
      </c>
      <c r="D6" s="21" t="n">
        <v>46188</v>
      </c>
      <c r="E6" s="21" t="n">
        <v>46157</v>
      </c>
    </row>
    <row r="7">
      <c r="A7" s="2" t="inlineStr">
        <is>
          <t>Car Insurance</t>
        </is>
      </c>
      <c r="B7" s="3" t="n">
        <v>480</v>
      </c>
      <c r="C7" s="2" t="inlineStr">
        <is>
          <t>Quarterly</t>
        </is>
      </c>
      <c r="D7" s="21" t="n">
        <v>46218</v>
      </c>
      <c r="E7" s="21" t="n">
        <v>46127</v>
      </c>
    </row>
    <row r="8">
      <c r="A8" s="2" t="inlineStr">
        <is>
          <t>Amazon Prime</t>
        </is>
      </c>
      <c r="B8" s="3" t="n">
        <v>139</v>
      </c>
      <c r="C8" s="2" t="inlineStr">
        <is>
          <t>Annually</t>
        </is>
      </c>
      <c r="D8" s="21" t="n">
        <v>46346</v>
      </c>
      <c r="E8" s="21" t="n">
        <v>45981</v>
      </c>
    </row>
    <row r="9">
      <c r="A9" s="2" t="inlineStr">
        <is>
          <t>Paycheck</t>
        </is>
      </c>
      <c r="B9" s="3" t="n">
        <v>2800</v>
      </c>
      <c r="C9" s="2" t="inlineStr">
        <is>
          <t>Bi-Weekly</t>
        </is>
      </c>
      <c r="D9" s="21" t="n">
        <v>46178</v>
      </c>
      <c r="E9" s="21" t="n">
        <v>46164</v>
      </c>
    </row>
    <row r="11">
      <c r="A11" s="6" t="inlineStr">
        <is>
          <t>Total Monthly Fixed</t>
        </is>
      </c>
      <c r="B11" s="7">
        <f>SUMIFS(B2:B200,C2:C200,"&lt;&gt;Annually")</f>
        <v/>
      </c>
    </row>
    <row r="12">
      <c r="A12" s="10" t="inlineStr">
        <is>
          <t>Safe to Spend</t>
        </is>
      </c>
      <c r="B12" s="11">
        <f>SUMIFS(Accounts!B2:B100,Accounts!C2:C100,"Asset")-B11</f>
        <v/>
      </c>
    </row>
  </sheetData>
  <conditionalFormatting sqref="A2:E200">
    <cfRule type="expression" priority="1" dxfId="1">
      <formula>AND($D2&lt;&gt;"", $D2&lt;=TODAY())</formula>
    </cfRule>
    <cfRule type="expression" priority="2" dxfId="2">
      <formula>AND($D2&lt;&gt;"", $D2&gt;TODAY(), $D2&lt;=TODAY()+7)</formula>
    </cfRule>
  </conditionalFormatting>
  <dataValidations count="1">
    <dataValidation sqref="C2:C200" showDropDown="0" showInputMessage="0" showErrorMessage="0" allowBlank="0" type="list">
      <formula1>"Bi-Weekly,Monthly,Quarterly,Annually"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2026-05-05T02:01:28Z</dcterms:created>
  <dcterms:modified xsi:type="dcterms:W3CDTF">2026-05-05T02:01:28Z</dcterms:modified>
</cp:coreProperties>
</file>