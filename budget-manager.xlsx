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-21000" windowWidth="38400" windowHeight="21000" tabRatio="600" firstSheet="0" activeTab="4" autoFilterDateGrouping="1"/>
  </bookViews>
  <sheets>
    <sheet name="Accounts" sheetId="1" state="visible" r:id="rId1"/>
    <sheet name="BillSchedule" sheetId="2" state="visible" r:id="rId2"/>
    <sheet name="Workbench" sheetId="3" state="visible" r:id="rId3"/>
    <sheet name="CC - CMW (3619)" sheetId="4" state="visible" r:id="rId4"/>
    <sheet name="CC - JGW (9299)" sheetId="5" state="visible" r:id="rId5"/>
    <sheet name="CC - SAMS (1261)" sheetId="6" state="visible" r:id="rId6"/>
  </sheets>
  <definedNames>
    <definedName name="Accounts">Accounts!$A$8:$D$18</definedName>
    <definedName name="Google_Sheet_Link_1814196947" hidden="1">WorkbenchBalance</definedName>
    <definedName name="Google_Sheet_Link_761511943" hidden="1">Accounts</definedName>
    <definedName name="WorkbenchBalance">Accounts!$D$5</definedName>
    <definedName name="Z_82D6CA82_8D5A_4387_9474_68F8002FCED7_.wvu.FilterData" localSheetId="1" hidden="1">BillSchedule!$A$1:$E$87</definedName>
    <definedName name="_xlnm._FilterDatabase" localSheetId="1" hidden="1">'BillSchedule'!$A$1:$E$87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\$#,##0.00"/>
    <numFmt numFmtId="166" formatCode="m/d/yyyy"/>
  </numFmts>
  <fonts count="25">
    <font>
      <name val="Calibri"/>
      <color theme="1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rgb="FFFFFFFF"/>
      <sz val="14"/>
      <scheme val="minor"/>
    </font>
    <font>
      <name val="Calibri"/>
      <family val="2"/>
      <b val="1"/>
      <color rgb="FF74B9FF"/>
      <sz val="14"/>
      <scheme val="minor"/>
    </font>
    <font>
      <name val="Calibri"/>
      <family val="2"/>
      <b val="1"/>
      <color rgb="FF1F4E79"/>
      <sz val="12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sz val="11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00B894"/>
      <sz val="14"/>
      <scheme val="minor"/>
    </font>
    <font>
      <name val="Calibri"/>
      <family val="2"/>
      <b val="1"/>
      <color rgb="FFD63031"/>
      <sz val="14"/>
      <scheme val="minor"/>
    </font>
    <font>
      <name val="Helvetica Neue"/>
      <family val="2"/>
      <b val="1"/>
      <color theme="1"/>
      <sz val="12"/>
    </font>
    <font>
      <name val="Helvetica Neue"/>
      <family val="2"/>
      <color theme="1"/>
      <sz val="12"/>
    </font>
    <font>
      <name val="Helvetica Neue"/>
      <family val="2"/>
      <color theme="1"/>
      <sz val="11"/>
    </font>
    <font>
      <name val="Helvetica Neue"/>
      <family val="2"/>
      <b val="1"/>
      <color rgb="FFFFFFFF"/>
      <sz val="14"/>
    </font>
    <font>
      <name val="Helvetica Neue"/>
      <family val="2"/>
      <sz val="11"/>
    </font>
    <font>
      <name val="Helvetica Neue"/>
      <family val="2"/>
      <b val="1"/>
      <color rgb="FF74B9FF"/>
      <sz val="14"/>
    </font>
    <font>
      <name val="Helvetica Neue"/>
      <family val="2"/>
      <b val="1"/>
      <color rgb="FFFFFFFF"/>
      <sz val="10"/>
    </font>
    <font>
      <name val="Helvetica Neue"/>
      <family val="2"/>
      <color rgb="FF0000FF"/>
      <sz val="12"/>
      <u val="single"/>
    </font>
    <font>
      <name val="Helvetica Neue"/>
      <family val="2"/>
      <b val="1"/>
      <color rgb="FF00B894"/>
      <sz val="14"/>
    </font>
    <font>
      <name val="Helvetica Neue"/>
      <family val="2"/>
      <b val="1"/>
      <color rgb="FFFFFFFF"/>
      <sz val="12"/>
    </font>
    <font>
      <name val="Helvetica Neue"/>
      <family val="2"/>
      <sz val="12"/>
    </font>
    <font>
      <name val="Helvetica Neue"/>
      <family val="2"/>
      <b val="1"/>
      <color rgb="FF00B894"/>
      <sz val="12"/>
    </font>
    <font>
      <name val="Helvetica Neue"/>
      <family val="2"/>
      <b val="1"/>
      <color rgb="FFD63031"/>
      <sz val="12"/>
    </font>
    <font>
      <name val="Helvetica Neue"/>
      <family val="2"/>
      <b val="1"/>
      <color rgb="FF74B9FF"/>
      <sz val="12"/>
    </font>
  </fonts>
  <fills count="4">
    <fill>
      <patternFill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2D3436"/>
        <bgColor rgb="FF2D3436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2">
    <xf numFmtId="0" fontId="0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64" fontId="3" fillId="2" borderId="0" pivotButton="0" quotePrefix="0" xfId="0"/>
    <xf numFmtId="164" fontId="4" fillId="2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center"/>
    </xf>
    <xf numFmtId="165" fontId="2" fillId="0" borderId="0" pivotButton="0" quotePrefix="0" xfId="0"/>
    <xf numFmtId="164" fontId="2" fillId="0" borderId="0" pivotButton="0" quotePrefix="0" xfId="0"/>
    <xf numFmtId="0" fontId="8" fillId="2" borderId="4" applyAlignment="1" pivotButton="0" quotePrefix="0" xfId="0">
      <alignment horizontal="center"/>
    </xf>
    <xf numFmtId="165" fontId="9" fillId="2" borderId="4" applyAlignment="1" pivotButton="0" quotePrefix="0" xfId="0">
      <alignment horizontal="center"/>
    </xf>
    <xf numFmtId="165" fontId="10" fillId="2" borderId="4" applyAlignment="1" pivotButton="0" quotePrefix="0" xfId="0">
      <alignment horizontal="center"/>
    </xf>
    <xf numFmtId="165" fontId="4" fillId="2" borderId="4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2" borderId="0" pivotButton="0" quotePrefix="0" xfId="0"/>
    <xf numFmtId="0" fontId="0" fillId="0" borderId="0" pivotButton="0" quotePrefix="0" xfId="0"/>
    <xf numFmtId="0" fontId="3" fillId="2" borderId="0" pivotButton="0" quotePrefix="0" xfId="0"/>
    <xf numFmtId="0" fontId="6" fillId="2" borderId="1" applyAlignment="1" pivotButton="0" quotePrefix="0" xfId="0">
      <alignment horizontal="center"/>
    </xf>
    <xf numFmtId="0" fontId="7" fillId="0" borderId="2" pivotButton="0" quotePrefix="0" xfId="0"/>
    <xf numFmtId="0" fontId="7" fillId="0" borderId="3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64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3" borderId="1" applyAlignment="1" pivotButton="0" quotePrefix="0" xfId="0">
      <alignment horizontal="center"/>
    </xf>
    <xf numFmtId="0" fontId="15" fillId="0" borderId="3" pivotButton="0" quotePrefix="0" xfId="0"/>
    <xf numFmtId="165" fontId="16" fillId="3" borderId="1" applyAlignment="1" pivotButton="0" quotePrefix="0" xfId="0">
      <alignment horizontal="center"/>
    </xf>
    <xf numFmtId="0" fontId="17" fillId="3" borderId="0" applyAlignment="1" pivotButton="0" quotePrefix="0" xfId="0">
      <alignment horizontal="center"/>
    </xf>
    <xf numFmtId="0" fontId="18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65" fontId="19" fillId="3" borderId="1" applyAlignment="1" pivotButton="0" quotePrefix="0" xfId="0">
      <alignment horizontal="center"/>
    </xf>
    <xf numFmtId="4" fontId="13" fillId="0" borderId="0" pivotButton="0" quotePrefix="0" xfId="0"/>
    <xf numFmtId="0" fontId="20" fillId="2" borderId="1" applyAlignment="1" pivotButton="0" quotePrefix="0" xfId="0">
      <alignment horizontal="center"/>
    </xf>
    <xf numFmtId="0" fontId="21" fillId="0" borderId="2" pivotButton="0" quotePrefix="0" xfId="0"/>
    <xf numFmtId="0" fontId="21" fillId="0" borderId="3" pivotButton="0" quotePrefix="0" xfId="0"/>
    <xf numFmtId="0" fontId="12" fillId="0" borderId="0" pivotButton="0" quotePrefix="0" xfId="0"/>
    <xf numFmtId="0" fontId="20" fillId="2" borderId="4" applyAlignment="1" pivotButton="0" quotePrefix="0" xfId="0">
      <alignment horizontal="center"/>
    </xf>
    <xf numFmtId="165" fontId="20" fillId="2" borderId="4" applyAlignment="1" pivotButton="0" quotePrefix="0" xfId="0">
      <alignment horizontal="center"/>
    </xf>
    <xf numFmtId="165" fontId="22" fillId="2" borderId="4" applyAlignment="1" pivotButton="0" quotePrefix="0" xfId="0">
      <alignment horizontal="center"/>
    </xf>
    <xf numFmtId="165" fontId="23" fillId="2" borderId="4" applyAlignment="1" pivotButton="0" quotePrefix="0" xfId="0">
      <alignment horizontal="center"/>
    </xf>
    <xf numFmtId="165" fontId="24" fillId="2" borderId="4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4" pivotButton="0" quotePrefix="0" xfId="0"/>
    <xf numFmtId="0" fontId="1" fillId="2" borderId="4" pivotButton="0" quotePrefix="0" xfId="0"/>
    <xf numFmtId="0" fontId="3" fillId="2" borderId="4" pivotButton="0" quotePrefix="0" xfId="0"/>
    <xf numFmtId="0" fontId="14" fillId="3" borderId="4" applyAlignment="1" pivotButton="0" quotePrefix="0" xfId="0">
      <alignment horizontal="center"/>
    </xf>
    <xf numFmtId="165" fontId="16" fillId="3" borderId="4" applyAlignment="1" pivotButton="0" quotePrefix="0" xfId="0">
      <alignment horizontal="center"/>
    </xf>
    <xf numFmtId="165" fontId="19" fillId="3" borderId="4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</cellXfs>
  <cellStyles count="1">
    <cellStyle name="Normal" xfId="0" builtinId="0"/>
  </cellStyles>
  <dxfs count="74"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sz val="12"/>
        <vertAlign val="baseline"/>
      </font>
    </dxf>
    <dxf>
      <font>
        <name val="Helvetica Neue"/>
        <family val="2"/>
        <strike val="0"/>
        <outline val="0"/>
        <shadow val="0"/>
        <color theme="1"/>
        <sz val="12"/>
        <vertAlign val="baseline"/>
      </font>
    </dxf>
    <dxf>
      <font>
        <name val="Helvetica Neue"/>
        <family val="2"/>
        <strike val="0"/>
        <outline val="0"/>
        <shadow val="0"/>
        <color theme="1"/>
        <sz val="12"/>
        <vertAlign val="baseline"/>
      </font>
    </dxf>
    <dxf>
      <font>
        <name val="Helvetica Neue"/>
        <family val="2"/>
        <strike val="0"/>
        <outline val="0"/>
        <shadow val="0"/>
        <color theme="1"/>
        <sz val="12"/>
        <vertAlign val="baseline"/>
      </font>
    </dxf>
    <dxf>
      <font>
        <name val="Helvetica Neue"/>
        <family val="2"/>
        <strike val="0"/>
        <outline val="0"/>
        <shadow val="0"/>
        <color theme="1"/>
        <sz val="12"/>
        <vertAlign val="baseline"/>
      </font>
    </dxf>
    <dxf>
      <font>
        <name val="Helvetica Neue"/>
        <family val="2"/>
        <strike val="0"/>
        <outline val="0"/>
        <shadow val="0"/>
        <color theme="1"/>
        <sz val="12"/>
        <vertAlign val="baseline"/>
      </font>
    </dxf>
    <dxf>
      <font>
        <name val="Helvetica Neue"/>
        <family val="2"/>
        <strike val="0"/>
        <outline val="0"/>
        <shadow val="0"/>
        <color theme="1"/>
        <sz val="12"/>
        <vertAlign val="baseline"/>
      </font>
    </dxf>
    <dxf>
      <font>
        <b val="1"/>
      </font>
      <fill>
        <patternFill patternType="solid">
          <fgColor rgb="FFB6D7A8"/>
          <bgColor rgb="FFB6D7A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 patternType="solid">
          <fgColor rgb="FFB7E1CD"/>
          <bgColor rgb="FFB7E1CD"/>
        </patternFill>
      </fill>
    </dxf>
    <dxf>
      <font>
        <b val="1"/>
        <color rgb="FF000000"/>
      </font>
      <fill>
        <patternFill patternType="solid">
          <fgColor rgb="FFB6D7A8"/>
          <bgColor rgb="FFB6D7A8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&quot;$&quot;#,##0.00"/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D9D4"/>
          <bgColor rgb="FFCCD9D4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 defaultTableStyle="TableStyleMedium9" defaultPivotStyle="PivotStyleLight16">
    <tableStyle name="Accounts-style" pivot="0" count="5">
      <tableStyleElement type="wholeTable" size="0" dxfId="73"/>
      <tableStyleElement type="headerRow" dxfId="72"/>
      <tableStyleElement type="totalRow" dxfId="71"/>
      <tableStyleElement type="firstRowStripe" dxfId="70"/>
      <tableStyleElement type="secondRowStripe" dxfId="69"/>
    </tableStyle>
    <tableStyle name="Workbench-style" pivot="0" count="4">
      <tableStyleElement type="wholeTable" size="0" dxfId="68"/>
      <tableStyleElement type="headerRow" dxfId="67"/>
      <tableStyleElement type="firstRowStripe" dxfId="66"/>
      <tableStyleElement type="secondRowStripe" dxfId="65"/>
    </tableStyle>
    <tableStyle name="BillSchedule-style" pivot="0" count="4">
      <tableStyleElement type="wholeTable" size="0" dxfId="64"/>
      <tableStyleElement type="headerRow" dxfId="63"/>
      <tableStyleElement type="firstRowStripe" dxfId="62"/>
      <tableStyleElement type="secondRowStripe" dxfId="61"/>
    </tableStyle>
    <tableStyle name="CC - CMW (3619)-style" pivot="0" count="4">
      <tableStyleElement type="wholeTable" size="0" dxfId="60"/>
      <tableStyleElement type="headerRow" dxfId="59"/>
      <tableStyleElement type="firstRowStripe" dxfId="58"/>
      <tableStyleElement type="secondRowStripe" dxfId="57"/>
    </tableStyle>
    <tableStyle name="CC - JGW (9299)-style" pivot="0" count="4">
      <tableStyleElement type="wholeTable" size="0" dxfId="56"/>
      <tableStyleElement type="headerRow" dxfId="55"/>
      <tableStyleElement type="firstRowStripe" dxfId="54"/>
      <tableStyleElement type="secondRowStripe" dxfId="53"/>
    </tableStyle>
    <tableStyle name="CC - SAMS (1261)-style" pivot="0" count="4">
      <tableStyleElement type="wholeTable" size="0" dxfId="52"/>
      <tableStyleElement type="headerRow" dxfId="51"/>
      <tableStyleElement type="firstRowStripe" dxfId="50"/>
      <tableStyleElement type="secondRowStripe" dxfId="4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e1" displayName="Table1" ref="A7:D18" headerRowCount="1" totalsRowShown="0" headerRowDxfId="30" dataDxfId="29">
  <tableColumns count="4">
    <tableColumn id="1" name="Name" dataDxfId="34" totalsRowDxfId="48"/>
    <tableColumn id="2" name="Balance" dataDxfId="33" totalsRowDxfId="47"/>
    <tableColumn id="3" name="Type" dataDxfId="32" totalsRowDxfId="46"/>
    <tableColumn id="4" name="In Workbench?" dataDxfId="31" totalsRowDxfId="45"/>
  </tableColumns>
  <tableStyleInfo name="Accounts-style" showFirstColumn="1" showLastColumn="1" showRowStripes="1" showColumnStripes="0"/>
</table>
</file>

<file path=xl/tables/table2.xml><?xml version="1.0" encoding="utf-8"?>
<table xmlns="http://schemas.openxmlformats.org/spreadsheetml/2006/main" id="2" name="Payment_Schedule_Tracker" displayName="Payment_Schedule_Tracker" ref="A1:E87" headerRowCount="1" headerRowDxfId="23" dataDxfId="21" totalsRowDxfId="22">
  <sortState ref="A2:E87">
    <sortCondition sortBy="cellColor" ref="C1:C87"/>
  </sortState>
  <tableColumns count="5">
    <tableColumn id="1" name="Name" dataDxfId="28"/>
    <tableColumn id="2" name="Amount" dataDxfId="27"/>
    <tableColumn id="3" name="Frequency" dataDxfId="26"/>
    <tableColumn id="4" name="Next Due" dataDxfId="25"/>
    <tableColumn id="5" name="Last Paid" dataDxfId="24"/>
  </tableColumns>
  <tableStyleInfo name="TableStyleLight13" showFirstColumn="1" showLastColumn="1" showRowStripes="1" showColumnStripes="0"/>
</table>
</file>

<file path=xl/tables/table3.xml><?xml version="1.0" encoding="utf-8"?>
<table xmlns="http://schemas.openxmlformats.org/spreadsheetml/2006/main" id="3" name="Table3" displayName="Table3" ref="C5:F33" headerRowCount="1" headerRowDxfId="16" dataDxfId="14" totalsRowDxfId="15">
  <tableColumns count="4">
    <tableColumn id="1" name="Description" dataDxfId="20"/>
    <tableColumn id="2" name="Amount" dataDxfId="19"/>
    <tableColumn id="3" name="Due Date" dataDxfId="18"/>
    <tableColumn id="4" name="In Calc?" dataDxfId="17"/>
  </tableColumns>
  <tableStyleInfo name="Workbench-style" showFirstColumn="1" showLastColumn="1" showRowStripes="1" showColumnStripes="0"/>
</table>
</file>

<file path=xl/tables/table4.xml><?xml version="1.0" encoding="utf-8"?>
<table xmlns="http://schemas.openxmlformats.org/spreadsheetml/2006/main" id="4" name="Table2" displayName="Table2" ref="C5:F33" headerRowCount="1" headerRowDxfId="9" dataDxfId="7" totalsRowDxfId="8">
  <tableColumns count="4">
    <tableColumn id="1" name="Description" dataDxfId="13"/>
    <tableColumn id="2" name="Amount" dataDxfId="12"/>
    <tableColumn id="3" name="Due Date" dataDxfId="11"/>
    <tableColumn id="4" name="In Calc?" dataDxfId="10"/>
  </tableColumns>
  <tableStyleInfo name="CC - CMW (3619)-style" showFirstColumn="1" showLastColumn="1" showRowStripes="1" showColumnStripes="0"/>
</table>
</file>

<file path=xl/tables/table5.xml><?xml version="1.0" encoding="utf-8"?>
<table xmlns="http://schemas.openxmlformats.org/spreadsheetml/2006/main" id="5" name="Table4" displayName="Table4" ref="A5:D33" headerRowCount="1" headerRowDxfId="2" dataDxfId="0" totalsRowDxfId="1">
  <tableColumns count="4">
    <tableColumn id="1" name="Description" dataDxfId="6"/>
    <tableColumn id="2" name="Amount" dataDxfId="5"/>
    <tableColumn id="3" name="Due Date" dataDxfId="4"/>
    <tableColumn id="4" name="In Calc?" dataDxfId="3"/>
  </tableColumns>
  <tableStyleInfo name="CC - JGW (9299)-style" showFirstColumn="1" showLastColumn="1" showRowStripes="1" showColumnStripes="0"/>
</table>
</file>

<file path=xl/tables/table6.xml><?xml version="1.0" encoding="utf-8"?>
<table xmlns="http://schemas.openxmlformats.org/spreadsheetml/2006/main" id="6" name="Table5" displayName="Table5" ref="A5:D33" headerRowCount="1">
  <tableColumns count="4">
    <tableColumn id="1" name="Description"/>
    <tableColumn id="2" name="Amount"/>
    <tableColumn id="3" name="Due Date"/>
    <tableColumn id="4" name="In Calc?"/>
  </tableColumns>
  <tableStyleInfo name="CC - SAMS (1261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3.mtb.com/homepage/log-in" TargetMode="External" Id="rId1" /><Relationship Type="http://schemas.openxmlformats.org/officeDocument/2006/relationships/hyperlink" Target="https://signin.travelers.com/" TargetMode="External" Id="rId2" /><Relationship Type="http://schemas.openxmlformats.org/officeDocument/2006/relationships/hyperlink" Target="https://account.microsoft.com/services?fref=home.drawers.subscriptions.view-all-subscriptions" TargetMode="External" Id="rId3" /><Relationship Type="http://schemas.openxmlformats.org/officeDocument/2006/relationships/hyperlink" Target="https://www.spotify.com/us/account/overview/?utm_source=spotify&amp;utm_medium=menu&amp;utm_campaign=your_account" TargetMode="External" Id="rId4" /><Relationship Type="http://schemas.openxmlformats.org/officeDocument/2006/relationships/hyperlink" Target="https://account.t-mobile.com/signin/v2/?redirect_uri=https:%2F%2Fprepaid.t-mobile.com&amp;access_type=ONLINE&amp;response_type=code&amp;approval_prompt=auto&amp;scope=TMO_ID_profile%2520associated_lines%2520associated_customers%2520associated_billing_accounts%2520line_ad" TargetMode="External" Id="rId5" /><Relationship Type="http://schemas.openxmlformats.org/officeDocument/2006/relationships/hyperlink" Target="https://www.i3broadband.com/my-account/" TargetMode="External" Id="rId6" /><Relationship Type="http://schemas.openxmlformats.org/officeDocument/2006/relationships/hyperlink" Target="https://account.apple.com/account/manage" TargetMode="External" Id="rId7" /><Relationship Type="http://schemas.openxmlformats.org/officeDocument/2006/relationships/hyperlink" Target="https://mycube.cubesmart.com/" TargetMode="External" Id="rId8" /><Relationship Type="http://schemas.openxmlformats.org/officeDocument/2006/relationships/hyperlink" Target="https://www.osfmychart.org/OSFMyChart/billing/guestpay/payasguest" TargetMode="External" Id="rId9" /><Relationship Type="http://schemas.openxmlformats.org/officeDocument/2006/relationships/hyperlink" Target="https://www.ameren.com/" TargetMode="External" Id="rId10" /><Relationship Type="http://schemas.openxmlformats.org/officeDocument/2006/relationships/hyperlink" Target="https://mywaterv2.amwater.com/" TargetMode="External" Id="rId11" /><Relationship Type="http://schemas.openxmlformats.org/officeDocument/2006/relationships/hyperlink" Target="https://peoriail.municipalonlinepayments.com/peoriail/utilities" TargetMode="External" Id="rId12" /><Relationship Type="http://schemas.openxmlformats.org/officeDocument/2006/relationships/hyperlink" Target="https://online.factsmgt.com/consumer-link/W6GMD99/249219337/MakeAPayment/298818470/?cid=724155333&amp;nbsts=638985238579975744&amp;sig=433N6V4E273A93W235U1B12311S6B4X246M13922KG5V4N2W662X2S3B3F2T" TargetMode="External" Id="rId13" /><Relationship Type="http://schemas.openxmlformats.org/officeDocument/2006/relationships/hyperlink" Target="https://www.samsclub.com/" TargetMode="External" Id="rId14" /><Relationship Type="http://schemas.openxmlformats.org/officeDocument/2006/relationships/hyperlink" Target="https://account.apple.com/account/manage" TargetMode="External" Id="rId15" /><Relationship Type="http://schemas.openxmlformats.org/officeDocument/2006/relationships/hyperlink" Target="http://otter.ai/" TargetMode="External" Id="rId16" /><Relationship Type="http://schemas.openxmlformats.org/officeDocument/2006/relationships/hyperlink" Target="http://topteacher.com/" TargetMode="External" Id="rId17" /><Relationship Type="http://schemas.openxmlformats.org/officeDocument/2006/relationships/hyperlink" Target="https://www.netflix.com/account" TargetMode="External" Id="rId18" /><Relationship Type="http://schemas.openxmlformats.org/officeDocument/2006/relationships/hyperlink" Target="https://webpay.1tech.net/GPSD/" TargetMode="External" Id="rId19" /><Relationship Type="http://schemas.openxmlformats.org/officeDocument/2006/relationships/table" Target="/xl/tables/table2.xml" Id="rId20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defaultGridColor="0" colorId="39" zoomScale="150" zoomScaleNormal="150" workbookViewId="0">
      <pane ySplit="7" topLeftCell="A8" activePane="bottomLeft" state="frozen"/>
      <selection pane="bottomLeft" activeCell="B12" sqref="A7:D18"/>
    </sheetView>
  </sheetViews>
  <sheetFormatPr baseColWidth="10" defaultColWidth="14.5" defaultRowHeight="15" customHeight="1"/>
  <cols>
    <col width="29.1640625" customWidth="1" style="16" min="1" max="1"/>
    <col width="17.5" customWidth="1" style="16" min="2" max="2"/>
    <col width="14.5" customWidth="1" style="16" min="3" max="3"/>
    <col width="24" customWidth="1" style="16" min="4" max="4"/>
    <col width="4.1640625" customWidth="1" style="16" min="5" max="5"/>
    <col width="21" customWidth="1" style="16" min="6" max="6"/>
    <col width="17.5" customWidth="1" style="16" min="7" max="7"/>
    <col width="18.5" customWidth="1" style="16" min="8" max="8"/>
    <col width="21" customWidth="1" style="16" min="9" max="9"/>
    <col width="8.6640625" customWidth="1" style="16" min="10" max="26"/>
  </cols>
  <sheetData>
    <row r="1" ht="19" customHeight="1" s="16">
      <c r="A1" s="46" t="inlineStr">
        <is>
          <t>Total Assets</t>
        </is>
      </c>
      <c r="D1" s="1">
        <f>SUMIFS(Table1[Balance],Table1[Type],"Asset")</f>
        <v/>
      </c>
      <c r="I1" s="2" t="n"/>
    </row>
    <row r="2" ht="19" customHeight="1" s="16">
      <c r="A2" s="46" t="inlineStr">
        <is>
          <t>Total Liabilities</t>
        </is>
      </c>
      <c r="D2" s="1">
        <f>SUMIFS(Table1[Balance],Table1[Type],"Liability")</f>
        <v/>
      </c>
      <c r="I2" s="2" t="n"/>
    </row>
    <row r="3" ht="19" customHeight="1" s="16">
      <c r="A3" s="46" t="inlineStr">
        <is>
          <t>Net Worth</t>
        </is>
      </c>
      <c r="D3" s="1">
        <f>SUMIFS(Table1[Balance],Table1[Type],"Asset")-SUMIFS(Table1[Balance],Table1[Type],"Liability")</f>
        <v/>
      </c>
      <c r="I3" s="2" t="n"/>
    </row>
    <row r="4" ht="19" customHeight="1" s="16">
      <c r="A4" s="47" t="n"/>
      <c r="D4" s="3" t="n"/>
      <c r="I4" s="2" t="n"/>
    </row>
    <row r="5" ht="19" customHeight="1" s="16">
      <c r="A5" s="46" t="inlineStr">
        <is>
          <t>Workbench</t>
        </is>
      </c>
      <c r="D5" s="4">
        <f>SUMIFS(Table1[Balance],Table1[Type],"Asset",Table1[In Workbench?],TRUE)-SUMIFS(Table1[Balance],Table1[Type],"Liability",Table1[In Workbench?],TRUE)</f>
        <v/>
      </c>
      <c r="I5" s="2" t="n"/>
    </row>
    <row r="6" ht="16" customHeight="1" s="16">
      <c r="A6" s="5" t="n"/>
      <c r="B6" s="6" t="n"/>
      <c r="I6" s="2" t="n"/>
    </row>
    <row r="7" ht="22.5" customHeight="1" s="16">
      <c r="A7" s="21" t="inlineStr">
        <is>
          <t>Name</t>
        </is>
      </c>
      <c r="B7" s="21" t="inlineStr">
        <is>
          <t>Balance</t>
        </is>
      </c>
      <c r="C7" s="21" t="inlineStr">
        <is>
          <t>Type</t>
        </is>
      </c>
      <c r="D7" s="21" t="inlineStr">
        <is>
          <t>In Workbench?</t>
        </is>
      </c>
      <c r="I7" s="2" t="n"/>
    </row>
    <row r="8" ht="22.5" customHeight="1" s="16">
      <c r="A8" s="44" t="inlineStr">
        <is>
          <t>CHK 1, JGW (01 09302479)</t>
        </is>
      </c>
      <c r="B8" s="23" t="n">
        <v>1068.49</v>
      </c>
      <c r="C8" s="44" t="inlineStr">
        <is>
          <t>Asset</t>
        </is>
      </c>
      <c r="D8" s="24" t="b">
        <v>1</v>
      </c>
      <c r="I8" s="2" t="n"/>
    </row>
    <row r="9" ht="22.5" customHeight="1" s="16">
      <c r="A9" s="44" t="inlineStr">
        <is>
          <t>CHK 2, CMW (01 13107529)</t>
        </is>
      </c>
      <c r="B9" s="23" t="n">
        <v>0</v>
      </c>
      <c r="C9" s="44" t="inlineStr">
        <is>
          <t>Asset</t>
        </is>
      </c>
      <c r="D9" s="24" t="b">
        <v>0</v>
      </c>
      <c r="I9" s="8" t="n"/>
    </row>
    <row r="10" ht="22.5" customHeight="1" s="16">
      <c r="A10" s="44" t="inlineStr">
        <is>
          <t>GROCERIES (1310752-020)</t>
        </is>
      </c>
      <c r="B10" s="23" t="n">
        <v>497.41</v>
      </c>
      <c r="C10" s="44" t="inlineStr">
        <is>
          <t>Asset</t>
        </is>
      </c>
      <c r="D10" s="24" t="b">
        <v>0</v>
      </c>
    </row>
    <row r="11" ht="22.5" customHeight="1" s="16">
      <c r="A11" s="44" t="inlineStr">
        <is>
          <t>GAS (0930247-024)</t>
        </is>
      </c>
      <c r="B11" s="23" t="n">
        <v>130.83</v>
      </c>
      <c r="C11" s="44" t="inlineStr">
        <is>
          <t>Asset</t>
        </is>
      </c>
      <c r="D11" s="24" t="b">
        <v>0</v>
      </c>
      <c r="I11" s="2" t="n"/>
    </row>
    <row r="12" ht="22.5" customHeight="1" s="16">
      <c r="A12" s="44" t="inlineStr">
        <is>
          <t>MASTERCARD CMW (3619)</t>
        </is>
      </c>
      <c r="B12" s="23" t="n">
        <v>934.6900000000001</v>
      </c>
      <c r="C12" s="44" t="inlineStr">
        <is>
          <t>Liability</t>
        </is>
      </c>
      <c r="D12" s="24" t="b">
        <v>1</v>
      </c>
      <c r="I12" s="2" t="n"/>
    </row>
    <row r="13" ht="22.5" customHeight="1" s="16">
      <c r="A13" s="44" t="inlineStr">
        <is>
          <t>MASTERCARD JGW (9299)</t>
        </is>
      </c>
      <c r="B13" s="23" t="n">
        <v>515.6799999999999</v>
      </c>
      <c r="C13" s="44" t="inlineStr">
        <is>
          <t>Liability</t>
        </is>
      </c>
      <c r="D13" s="24" t="b">
        <v>0</v>
      </c>
      <c r="I13" s="2" t="n"/>
    </row>
    <row r="14" ht="22.5" customHeight="1" s="16">
      <c r="A14" s="44" t="inlineStr">
        <is>
          <t>SAMS CC (1261)</t>
        </is>
      </c>
      <c r="B14" s="23" t="n">
        <v>0</v>
      </c>
      <c r="C14" s="44" t="inlineStr">
        <is>
          <t>Liability</t>
        </is>
      </c>
      <c r="D14" s="24" t="b">
        <v>0</v>
      </c>
      <c r="I14" s="2" t="n"/>
    </row>
    <row r="15" ht="22.5" customHeight="1" s="16">
      <c r="A15" s="44" t="inlineStr">
        <is>
          <t>EMERGENCY (1310752-021)</t>
        </is>
      </c>
      <c r="B15" s="23" t="n">
        <v>3557.25</v>
      </c>
      <c r="C15" s="44" t="inlineStr">
        <is>
          <t>Asset</t>
        </is>
      </c>
      <c r="D15" s="24" t="b">
        <v>0</v>
      </c>
      <c r="I15" s="2" t="n"/>
    </row>
    <row r="16" ht="22.5" customHeight="1" s="16">
      <c r="A16" s="44" t="inlineStr">
        <is>
          <t>MORTGAGE (0930247-021)</t>
        </is>
      </c>
      <c r="B16" s="23" t="n">
        <v>385.28</v>
      </c>
      <c r="C16" s="44" t="inlineStr">
        <is>
          <t>Asset</t>
        </is>
      </c>
      <c r="D16" s="24" t="b">
        <v>0</v>
      </c>
      <c r="I16" s="2" t="n"/>
    </row>
    <row r="17" ht="22.5" customHeight="1" s="16">
      <c r="A17" s="44" t="inlineStr">
        <is>
          <t>SAV 1, JGW (0930247)</t>
        </is>
      </c>
      <c r="B17" s="23" t="n"/>
      <c r="C17" s="44" t="inlineStr">
        <is>
          <t>Asset</t>
        </is>
      </c>
      <c r="D17" s="24" t="b">
        <v>0</v>
      </c>
      <c r="I17" s="2" t="n"/>
    </row>
    <row r="18" ht="22.5" customHeight="1" s="16">
      <c r="A18" s="44" t="inlineStr">
        <is>
          <t>SAV 2, CMW (1310752)</t>
        </is>
      </c>
      <c r="B18" s="23" t="n"/>
      <c r="C18" s="44" t="inlineStr">
        <is>
          <t>Asset</t>
        </is>
      </c>
      <c r="D18" s="24" t="b">
        <v>0</v>
      </c>
      <c r="I18" s="2" t="n"/>
    </row>
    <row r="19" ht="15.75" customHeight="1" s="16">
      <c r="B19" s="9" t="n"/>
      <c r="I19" s="2" t="n"/>
    </row>
    <row r="20" ht="15.75" customHeight="1" s="16">
      <c r="B20" s="9" t="n"/>
      <c r="I20" s="2" t="n"/>
    </row>
    <row r="21" ht="15.75" customHeight="1" s="16">
      <c r="B21" s="9" t="n"/>
      <c r="I21" s="2" t="n"/>
    </row>
    <row r="22" ht="15.75" customHeight="1" s="16">
      <c r="B22" s="9" t="n"/>
      <c r="F22" s="2" t="n"/>
      <c r="G22" s="2" t="n"/>
      <c r="H22" s="2" t="n"/>
      <c r="I22" s="2" t="n"/>
    </row>
    <row r="23" ht="15.75" customHeight="1" s="16">
      <c r="F23" s="2" t="n"/>
      <c r="G23" s="2" t="n"/>
      <c r="H23" s="2" t="n"/>
      <c r="I23" s="2" t="n"/>
    </row>
    <row r="24" ht="15.75" customHeight="1" s="16">
      <c r="F24" s="2" t="n"/>
      <c r="G24" s="2" t="n"/>
      <c r="H24" s="2" t="n"/>
      <c r="I24" s="2" t="n"/>
    </row>
    <row r="25" ht="15.75" customHeight="1" s="16">
      <c r="F25" s="2" t="n"/>
      <c r="G25" s="2" t="n"/>
      <c r="H25" s="2" t="n"/>
      <c r="I25" s="2" t="n"/>
    </row>
    <row r="26" ht="15.75" customHeight="1" s="16">
      <c r="F26" s="2" t="n"/>
      <c r="G26" s="2" t="n"/>
      <c r="H26" s="2" t="n"/>
      <c r="I26" s="2" t="n"/>
    </row>
    <row r="27" ht="15.75" customHeight="1" s="16">
      <c r="F27" s="2" t="n"/>
      <c r="G27" s="2" t="n"/>
      <c r="H27" s="2" t="n"/>
      <c r="I27" s="2" t="n"/>
    </row>
    <row r="28" ht="15.75" customHeight="1" s="16">
      <c r="F28" s="2" t="n"/>
      <c r="G28" s="2" t="n"/>
      <c r="H28" s="2" t="n"/>
      <c r="I28" s="2" t="n"/>
    </row>
    <row r="29" ht="15.75" customHeight="1" s="16">
      <c r="F29" s="2" t="n"/>
      <c r="G29" s="2" t="n"/>
      <c r="H29" s="2" t="n"/>
      <c r="I29" s="2" t="n"/>
    </row>
    <row r="30" ht="15.75" customHeight="1" s="16">
      <c r="F30" s="2" t="n"/>
      <c r="G30" s="2" t="n"/>
      <c r="H30" s="2" t="n"/>
      <c r="I30" s="2" t="n"/>
    </row>
    <row r="31" ht="15.75" customHeight="1" s="16">
      <c r="F31" s="2" t="n"/>
      <c r="G31" s="2" t="n"/>
      <c r="H31" s="2" t="n"/>
      <c r="I31" s="2" t="n"/>
    </row>
    <row r="32" ht="15.75" customHeight="1" s="16">
      <c r="F32" s="2" t="n"/>
      <c r="G32" s="2" t="n"/>
      <c r="H32" s="2" t="n"/>
      <c r="I32" s="2" t="n"/>
    </row>
    <row r="33" ht="15.75" customHeight="1" s="16">
      <c r="F33" s="2" t="n"/>
      <c r="G33" s="2" t="n"/>
      <c r="H33" s="2" t="n"/>
      <c r="I33" s="2" t="n"/>
    </row>
    <row r="34" ht="15.75" customHeight="1" s="16">
      <c r="F34" s="2" t="n"/>
      <c r="G34" s="2" t="n"/>
      <c r="H34" s="2" t="n"/>
      <c r="I34" s="2" t="n"/>
    </row>
    <row r="35" ht="15.75" customHeight="1" s="16">
      <c r="F35" s="2" t="n"/>
      <c r="G35" s="2" t="n"/>
      <c r="H35" s="2" t="n"/>
      <c r="I35" s="2" t="n"/>
    </row>
    <row r="36" ht="15.75" customHeight="1" s="16">
      <c r="F36" s="2" t="n"/>
      <c r="G36" s="2" t="n"/>
      <c r="H36" s="2" t="n"/>
      <c r="I36" s="2" t="n"/>
    </row>
    <row r="37" ht="15.75" customHeight="1" s="16"/>
    <row r="38" ht="15.75" customHeight="1" s="16"/>
    <row r="39" ht="15.75" customHeight="1" s="16"/>
    <row r="40" ht="15.75" customHeight="1" s="16"/>
    <row r="41" ht="15.75" customHeight="1" s="16"/>
    <row r="42" ht="15.75" customHeight="1" s="16"/>
    <row r="43" ht="15.75" customHeight="1" s="16"/>
    <row r="44" ht="15.75" customHeight="1" s="16"/>
    <row r="45" ht="15.75" customHeight="1" s="16"/>
    <row r="46" ht="15.75" customHeight="1" s="16"/>
    <row r="47" ht="15.75" customHeight="1" s="16"/>
    <row r="48" ht="15.75" customHeight="1" s="16"/>
    <row r="49" ht="15.75" customHeight="1" s="16"/>
    <row r="50" ht="15.75" customHeight="1" s="16"/>
    <row r="51" ht="15.75" customHeight="1" s="16"/>
    <row r="52" ht="15.75" customHeight="1" s="16"/>
    <row r="53" ht="15.75" customHeight="1" s="16"/>
    <row r="54" ht="15.75" customHeight="1" s="16"/>
    <row r="55" ht="15.75" customHeight="1" s="16"/>
    <row r="56" ht="15.75" customHeight="1" s="16"/>
    <row r="57" ht="15.75" customHeight="1" s="16"/>
    <row r="58" ht="15.75" customHeight="1" s="16"/>
    <row r="59" ht="15.75" customHeight="1" s="16"/>
    <row r="60" ht="15.75" customHeight="1" s="16"/>
    <row r="61" ht="15.75" customHeight="1" s="16"/>
    <row r="62" ht="15.75" customHeight="1" s="16"/>
    <row r="63" ht="15.75" customHeight="1" s="16"/>
    <row r="64" ht="15.75" customHeight="1" s="16"/>
    <row r="65" ht="15.75" customHeight="1" s="16"/>
    <row r="66" ht="15.75" customHeight="1" s="16"/>
    <row r="67" ht="15.75" customHeight="1" s="16"/>
    <row r="68" ht="15.75" customHeight="1" s="16"/>
    <row r="69" ht="15.75" customHeight="1" s="16"/>
    <row r="70" ht="15.75" customHeight="1" s="16"/>
    <row r="71" ht="15.75" customHeight="1" s="16"/>
    <row r="72" ht="15.75" customHeight="1" s="16"/>
    <row r="73" ht="15.75" customHeight="1" s="16"/>
    <row r="74" ht="15.75" customHeight="1" s="16"/>
    <row r="75" ht="15.75" customHeight="1" s="16"/>
    <row r="76" ht="15.75" customHeight="1" s="16"/>
    <row r="77" ht="15.75" customHeight="1" s="16"/>
    <row r="78" ht="15.75" customHeight="1" s="16"/>
    <row r="79" ht="15.75" customHeight="1" s="16"/>
    <row r="80" ht="15.75" customHeight="1" s="16"/>
    <row r="81" ht="15.75" customHeight="1" s="16"/>
    <row r="82" ht="15.75" customHeight="1" s="16"/>
    <row r="83" ht="15.75" customHeight="1" s="16"/>
    <row r="84" ht="15.75" customHeight="1" s="16"/>
    <row r="85" ht="15.75" customHeight="1" s="16"/>
    <row r="86" ht="15.75" customHeight="1" s="16"/>
    <row r="87" ht="15.75" customHeight="1" s="16"/>
    <row r="88" ht="15.75" customHeight="1" s="16"/>
    <row r="89" ht="15.75" customHeight="1" s="16"/>
    <row r="90" ht="15.75" customHeight="1" s="16"/>
    <row r="91" ht="15.75" customHeight="1" s="16"/>
    <row r="92" ht="15.75" customHeight="1" s="16"/>
    <row r="93" ht="15.75" customHeight="1" s="16"/>
    <row r="94" ht="15.75" customHeight="1" s="16"/>
    <row r="95" ht="15.75" customHeight="1" s="16"/>
    <row r="96" ht="15.75" customHeight="1" s="16"/>
    <row r="97" ht="15.75" customHeight="1" s="16"/>
    <row r="98" ht="15.75" customHeight="1" s="16"/>
    <row r="99" ht="15.75" customHeight="1" s="16"/>
    <row r="100" ht="15.75" customHeight="1" s="16"/>
    <row r="101" ht="15.75" customHeight="1" s="16"/>
    <row r="102" ht="15.75" customHeight="1" s="16"/>
    <row r="103" ht="15.75" customHeight="1" s="16"/>
    <row r="104" ht="15.75" customHeight="1" s="16"/>
    <row r="105" ht="15.75" customHeight="1" s="16"/>
    <row r="106" ht="15.75" customHeight="1" s="16"/>
    <row r="107" ht="15.75" customHeight="1" s="16"/>
    <row r="108" ht="15.75" customHeight="1" s="16"/>
    <row r="109" ht="15.75" customHeight="1" s="16"/>
    <row r="110" ht="15.75" customHeight="1" s="16"/>
    <row r="111" ht="15.75" customHeight="1" s="16"/>
    <row r="112" ht="15.75" customHeight="1" s="16"/>
    <row r="113" ht="15.75" customHeight="1" s="16"/>
    <row r="114" ht="15.75" customHeight="1" s="16"/>
    <row r="115" ht="15.75" customHeight="1" s="16"/>
    <row r="116" ht="15.75" customHeight="1" s="16"/>
    <row r="117" ht="15.75" customHeight="1" s="16"/>
    <row r="118" ht="15.75" customHeight="1" s="16"/>
    <row r="119" ht="15.75" customHeight="1" s="16"/>
    <row r="120" ht="15.75" customHeight="1" s="16"/>
    <row r="121" ht="15.75" customHeight="1" s="16"/>
    <row r="122" ht="15.75" customHeight="1" s="16"/>
    <row r="123" ht="15.75" customHeight="1" s="16"/>
    <row r="124" ht="15.75" customHeight="1" s="16"/>
    <row r="125" ht="15.75" customHeight="1" s="16"/>
    <row r="126" ht="15.75" customHeight="1" s="16"/>
    <row r="127" ht="15.75" customHeight="1" s="16"/>
    <row r="128" ht="15.75" customHeight="1" s="16"/>
    <row r="129" ht="15.75" customHeight="1" s="16"/>
    <row r="130" ht="15.75" customHeight="1" s="16"/>
    <row r="131" ht="15.75" customHeight="1" s="16"/>
    <row r="132" ht="15.75" customHeight="1" s="16"/>
    <row r="133" ht="15.75" customHeight="1" s="16"/>
    <row r="134" ht="15.75" customHeight="1" s="16"/>
    <row r="135" ht="15.75" customHeight="1" s="16"/>
    <row r="136" ht="15.75" customHeight="1" s="16"/>
    <row r="137" ht="15.75" customHeight="1" s="16"/>
    <row r="138" ht="15.75" customHeight="1" s="16"/>
    <row r="139" ht="15.75" customHeight="1" s="16"/>
    <row r="140" ht="15.75" customHeight="1" s="16"/>
    <row r="141" ht="15.75" customHeight="1" s="16"/>
    <row r="142" ht="15.75" customHeight="1" s="16"/>
    <row r="143" ht="15.75" customHeight="1" s="16"/>
    <row r="144" ht="15.75" customHeight="1" s="16"/>
    <row r="145" ht="15.75" customHeight="1" s="16"/>
    <row r="146" ht="15.75" customHeight="1" s="16"/>
    <row r="147" ht="15.75" customHeight="1" s="16"/>
    <row r="148" ht="15.75" customHeight="1" s="16"/>
    <row r="149" ht="15.75" customHeight="1" s="16"/>
    <row r="150" ht="15.75" customHeight="1" s="16"/>
    <row r="151" ht="15.75" customHeight="1" s="16"/>
    <row r="152" ht="15.75" customHeight="1" s="16"/>
    <row r="153" ht="15.75" customHeight="1" s="16"/>
    <row r="154" ht="15.75" customHeight="1" s="16"/>
    <row r="155" ht="15.75" customHeight="1" s="16"/>
    <row r="156" ht="15.75" customHeight="1" s="16"/>
    <row r="157" ht="15.75" customHeight="1" s="16"/>
    <row r="158" ht="15.75" customHeight="1" s="16"/>
    <row r="159" ht="15.75" customHeight="1" s="16"/>
    <row r="160" ht="15.75" customHeight="1" s="16"/>
    <row r="161" ht="15.75" customHeight="1" s="16"/>
    <row r="162" ht="15.75" customHeight="1" s="16"/>
    <row r="163" ht="15.75" customHeight="1" s="16"/>
    <row r="164" ht="15.75" customHeight="1" s="16"/>
    <row r="165" ht="15.75" customHeight="1" s="16"/>
    <row r="166" ht="15.75" customHeight="1" s="16"/>
    <row r="167" ht="15.75" customHeight="1" s="16"/>
    <row r="168" ht="15.75" customHeight="1" s="16"/>
    <row r="169" ht="15.75" customHeight="1" s="16"/>
    <row r="170" ht="15.75" customHeight="1" s="16"/>
    <row r="171" ht="15.75" customHeight="1" s="16"/>
    <row r="172" ht="15.75" customHeight="1" s="16"/>
    <row r="173" ht="15.75" customHeight="1" s="16"/>
    <row r="174" ht="15.75" customHeight="1" s="16"/>
    <row r="175" ht="15.75" customHeight="1" s="16"/>
    <row r="176" ht="15.75" customHeight="1" s="16"/>
    <row r="177" ht="15.75" customHeight="1" s="16"/>
    <row r="178" ht="15.75" customHeight="1" s="16"/>
    <row r="179" ht="15.75" customHeight="1" s="16"/>
    <row r="180" ht="15.75" customHeight="1" s="16"/>
    <row r="181" ht="15.75" customHeight="1" s="16"/>
    <row r="182" ht="15.75" customHeight="1" s="16"/>
    <row r="183" ht="15.75" customHeight="1" s="16"/>
    <row r="184" ht="15.75" customHeight="1" s="16"/>
    <row r="185" ht="15.75" customHeight="1" s="16"/>
    <row r="186" ht="15.75" customHeight="1" s="16"/>
    <row r="187" ht="15.75" customHeight="1" s="16"/>
    <row r="188" ht="15.75" customHeight="1" s="16"/>
    <row r="189" ht="15.75" customHeight="1" s="16"/>
    <row r="190" ht="15.75" customHeight="1" s="16"/>
    <row r="191" ht="15.75" customHeight="1" s="16"/>
    <row r="192" ht="15.75" customHeight="1" s="16"/>
    <row r="193" ht="15.75" customHeight="1" s="16"/>
    <row r="194" ht="15.75" customHeight="1" s="16"/>
    <row r="195" ht="15.75" customHeight="1" s="16"/>
    <row r="196" ht="15.75" customHeight="1" s="16"/>
    <row r="197" ht="15.75" customHeight="1" s="16"/>
    <row r="198" ht="15.75" customHeight="1" s="16"/>
    <row r="199" ht="15.75" customHeight="1" s="16"/>
    <row r="200" ht="15.75" customHeight="1" s="16"/>
    <row r="201" ht="15.75" customHeight="1" s="16"/>
    <row r="202" ht="15.75" customHeight="1" s="16"/>
    <row r="203" ht="15.75" customHeight="1" s="16"/>
    <row r="204" ht="15.75" customHeight="1" s="16"/>
    <row r="205" ht="15.75" customHeight="1" s="16"/>
    <row r="206" ht="15.75" customHeight="1" s="16"/>
    <row r="207" ht="15.75" customHeight="1" s="16"/>
    <row r="208" ht="15.75" customHeight="1" s="16"/>
    <row r="209" ht="15.75" customHeight="1" s="16"/>
    <row r="210" ht="15.75" customHeight="1" s="16"/>
    <row r="211" ht="15.75" customHeight="1" s="16"/>
    <row r="212" ht="15.75" customHeight="1" s="16"/>
    <row r="213" ht="15.75" customHeight="1" s="16"/>
    <row r="214" ht="15.75" customHeight="1" s="16"/>
    <row r="215" ht="15.75" customHeight="1" s="16"/>
    <row r="216" ht="15.75" customHeight="1" s="16"/>
    <row r="217" ht="15.75" customHeight="1" s="16"/>
    <row r="218" ht="15.75" customHeight="1" s="16"/>
    <row r="219" ht="15.75" customHeight="1" s="16"/>
    <row r="220" ht="15.75" customHeight="1" s="16"/>
    <row r="221" ht="15.75" customHeight="1" s="16"/>
    <row r="222" ht="15.75" customHeight="1" s="16"/>
    <row r="223" ht="15.75" customHeight="1" s="16"/>
    <row r="224" ht="15.75" customHeight="1" s="16"/>
    <row r="225" ht="15.75" customHeight="1" s="16"/>
    <row r="226" ht="15.75" customHeight="1" s="16"/>
    <row r="227" ht="15.75" customHeight="1" s="16"/>
    <row r="228" ht="15.75" customHeight="1" s="16"/>
    <row r="229" ht="15.75" customHeight="1" s="16"/>
    <row r="230" ht="15.75" customHeight="1" s="16"/>
    <row r="231" ht="15.75" customHeight="1" s="16"/>
    <row r="232" ht="15.75" customHeight="1" s="16"/>
    <row r="233" ht="15.75" customHeight="1" s="16"/>
    <row r="234" ht="15.75" customHeight="1" s="16"/>
    <row r="235" ht="15.75" customHeight="1" s="16"/>
    <row r="236" ht="15.75" customHeight="1" s="16"/>
    <row r="237" ht="15.75" customHeight="1" s="16"/>
    <row r="238" ht="15.75" customHeight="1" s="16"/>
    <row r="239" ht="15.75" customHeight="1" s="16"/>
    <row r="240" ht="15.75" customHeight="1" s="16"/>
    <row r="241" ht="15.75" customHeight="1" s="16"/>
    <row r="242" ht="15.75" customHeight="1" s="16"/>
    <row r="243" ht="15.75" customHeight="1" s="16"/>
    <row r="244" ht="15.75" customHeight="1" s="16"/>
    <row r="245" ht="15.75" customHeight="1" s="16"/>
    <row r="246" ht="15.75" customHeight="1" s="16"/>
    <row r="247" ht="15.75" customHeight="1" s="16"/>
    <row r="248" ht="15.75" customHeight="1" s="16"/>
    <row r="249" ht="15.75" customHeight="1" s="16"/>
    <row r="250" ht="15.75" customHeight="1" s="16"/>
    <row r="251" ht="15.75" customHeight="1" s="16"/>
    <row r="252" ht="15.75" customHeight="1" s="16"/>
    <row r="253" ht="15.75" customHeight="1" s="16"/>
    <row r="254" ht="15.75" customHeight="1" s="16"/>
    <row r="255" ht="15.75" customHeight="1" s="16"/>
    <row r="256" ht="15.75" customHeight="1" s="16"/>
    <row r="257" ht="15.75" customHeight="1" s="16"/>
    <row r="258" ht="15.75" customHeight="1" s="16"/>
    <row r="259" ht="15.75" customHeight="1" s="16"/>
    <row r="260" ht="15.75" customHeight="1" s="16"/>
    <row r="261" ht="15.75" customHeight="1" s="16"/>
    <row r="262" ht="15.75" customHeight="1" s="16"/>
    <row r="263" ht="15.75" customHeight="1" s="16"/>
    <row r="264" ht="15.75" customHeight="1" s="16"/>
    <row r="265" ht="15.75" customHeight="1" s="16"/>
    <row r="266" ht="15.75" customHeight="1" s="16"/>
    <row r="267" ht="15.75" customHeight="1" s="16"/>
    <row r="268" ht="15.75" customHeight="1" s="16"/>
    <row r="269" ht="15.75" customHeight="1" s="16"/>
    <row r="270" ht="15.75" customHeight="1" s="16"/>
    <row r="271" ht="15.75" customHeight="1" s="16"/>
    <row r="272" ht="15.75" customHeight="1" s="16"/>
    <row r="273" ht="15.75" customHeight="1" s="16"/>
    <row r="274" ht="15.75" customHeight="1" s="16"/>
    <row r="275" ht="15.75" customHeight="1" s="16"/>
    <row r="276" ht="15.75" customHeight="1" s="16"/>
    <row r="277" ht="15.75" customHeight="1" s="16"/>
    <row r="278" ht="15.75" customHeight="1" s="16"/>
    <row r="279" ht="15.75" customHeight="1" s="16"/>
    <row r="280" ht="15.75" customHeight="1" s="16"/>
    <row r="281" ht="15.75" customHeight="1" s="16"/>
    <row r="282" ht="15.75" customHeight="1" s="16"/>
    <row r="283" ht="15.75" customHeight="1" s="16"/>
    <row r="284" ht="15.75" customHeight="1" s="16"/>
    <row r="285" ht="15.75" customHeight="1" s="16"/>
    <row r="286" ht="15.75" customHeight="1" s="16"/>
    <row r="287" ht="15.75" customHeight="1" s="16"/>
    <row r="288" ht="15.75" customHeight="1" s="16"/>
    <row r="289" ht="15.75" customHeight="1" s="16"/>
    <row r="290" ht="15.75" customHeight="1" s="16"/>
    <row r="291" ht="15.75" customHeight="1" s="16"/>
    <row r="292" ht="15.75" customHeight="1" s="16"/>
    <row r="293" ht="15.75" customHeight="1" s="16"/>
    <row r="294" ht="15.75" customHeight="1" s="16"/>
    <row r="295" ht="15.75" customHeight="1" s="16"/>
    <row r="296" ht="15.75" customHeight="1" s="16"/>
    <row r="297" ht="15.75" customHeight="1" s="16"/>
    <row r="298" ht="15.75" customHeight="1" s="16"/>
    <row r="299" ht="15.75" customHeight="1" s="16"/>
    <row r="300" ht="15.75" customHeight="1" s="16"/>
    <row r="301" ht="15.75" customHeight="1" s="16"/>
    <row r="302" ht="15.75" customHeight="1" s="16"/>
    <row r="303" ht="15.75" customHeight="1" s="16"/>
    <row r="304" ht="15.75" customHeight="1" s="16"/>
    <row r="305" ht="15.75" customHeight="1" s="16"/>
    <row r="306" ht="15.75" customHeight="1" s="16"/>
    <row r="307" ht="15.75" customHeight="1" s="16"/>
    <row r="308" ht="15.75" customHeight="1" s="16"/>
    <row r="309" ht="15.75" customHeight="1" s="16"/>
    <row r="310" ht="15.75" customHeight="1" s="16"/>
    <row r="311" ht="15.75" customHeight="1" s="16"/>
    <row r="312" ht="15.75" customHeight="1" s="16"/>
    <row r="313" ht="15.75" customHeight="1" s="16"/>
    <row r="314" ht="15.75" customHeight="1" s="16"/>
    <row r="315" ht="15.75" customHeight="1" s="16"/>
    <row r="316" ht="15.75" customHeight="1" s="16"/>
    <row r="317" ht="15.75" customHeight="1" s="16"/>
    <row r="318" ht="15.75" customHeight="1" s="16"/>
    <row r="319" ht="15.75" customHeight="1" s="16"/>
    <row r="320" ht="15.75" customHeight="1" s="16"/>
    <row r="321" ht="15.75" customHeight="1" s="16"/>
    <row r="322" ht="15.75" customHeight="1" s="16"/>
    <row r="323" ht="15.75" customHeight="1" s="16"/>
    <row r="324" ht="15.75" customHeight="1" s="16"/>
    <row r="325" ht="15.75" customHeight="1" s="16"/>
    <row r="326" ht="15.75" customHeight="1" s="16"/>
    <row r="327" ht="15.75" customHeight="1" s="16"/>
    <row r="328" ht="15.75" customHeight="1" s="16"/>
    <row r="329" ht="15.75" customHeight="1" s="16"/>
    <row r="330" ht="15.75" customHeight="1" s="16"/>
    <row r="331" ht="15.75" customHeight="1" s="16"/>
    <row r="332" ht="15.75" customHeight="1" s="16"/>
    <row r="333" ht="15.75" customHeight="1" s="16"/>
    <row r="334" ht="15.75" customHeight="1" s="16"/>
    <row r="335" ht="15.75" customHeight="1" s="16"/>
    <row r="336" ht="15.75" customHeight="1" s="16"/>
    <row r="337" ht="15.75" customHeight="1" s="16"/>
    <row r="338" ht="15.75" customHeight="1" s="16"/>
    <row r="339" ht="15.75" customHeight="1" s="16"/>
    <row r="340" ht="15.75" customHeight="1" s="16"/>
    <row r="341" ht="15.75" customHeight="1" s="16"/>
    <row r="342" ht="15.75" customHeight="1" s="16"/>
    <row r="343" ht="15.75" customHeight="1" s="16"/>
    <row r="344" ht="15.75" customHeight="1" s="16"/>
    <row r="345" ht="15.75" customHeight="1" s="16"/>
    <row r="346" ht="15.75" customHeight="1" s="16"/>
    <row r="347" ht="15.75" customHeight="1" s="16"/>
    <row r="348" ht="15.75" customHeight="1" s="16"/>
    <row r="349" ht="15.75" customHeight="1" s="16"/>
    <row r="350" ht="15.75" customHeight="1" s="16"/>
    <row r="351" ht="15.75" customHeight="1" s="16"/>
    <row r="352" ht="15.75" customHeight="1" s="16"/>
    <row r="353" ht="15.75" customHeight="1" s="16"/>
    <row r="354" ht="15.75" customHeight="1" s="16"/>
    <row r="355" ht="15.75" customHeight="1" s="16"/>
    <row r="356" ht="15.75" customHeight="1" s="16"/>
    <row r="357" ht="15.75" customHeight="1" s="16"/>
    <row r="358" ht="15.75" customHeight="1" s="16"/>
    <row r="359" ht="15.75" customHeight="1" s="16"/>
    <row r="360" ht="15.75" customHeight="1" s="16"/>
    <row r="361" ht="15.75" customHeight="1" s="16"/>
    <row r="362" ht="15.75" customHeight="1" s="16"/>
    <row r="363" ht="15.75" customHeight="1" s="16"/>
    <row r="364" ht="15.75" customHeight="1" s="16"/>
    <row r="365" ht="15.75" customHeight="1" s="16"/>
    <row r="366" ht="15.75" customHeight="1" s="16"/>
    <row r="367" ht="15.75" customHeight="1" s="16"/>
    <row r="368" ht="15.75" customHeight="1" s="16"/>
    <row r="369" ht="15.75" customHeight="1" s="16"/>
    <row r="370" ht="15.75" customHeight="1" s="16"/>
    <row r="371" ht="15.75" customHeight="1" s="16"/>
    <row r="372" ht="15.75" customHeight="1" s="16"/>
    <row r="373" ht="15.75" customHeight="1" s="16"/>
    <row r="374" ht="15.75" customHeight="1" s="16"/>
    <row r="375" ht="15.75" customHeight="1" s="16"/>
    <row r="376" ht="15.75" customHeight="1" s="16"/>
    <row r="377" ht="15.75" customHeight="1" s="16"/>
    <row r="378" ht="15.75" customHeight="1" s="16"/>
    <row r="379" ht="15.75" customHeight="1" s="16"/>
    <row r="380" ht="15.75" customHeight="1" s="16"/>
    <row r="381" ht="15.75" customHeight="1" s="16"/>
    <row r="382" ht="15.75" customHeight="1" s="16"/>
    <row r="383" ht="15.75" customHeight="1" s="16"/>
    <row r="384" ht="15.75" customHeight="1" s="16"/>
    <row r="385" ht="15.75" customHeight="1" s="16"/>
    <row r="386" ht="15.75" customHeight="1" s="16"/>
    <row r="387" ht="15.75" customHeight="1" s="16"/>
    <row r="388" ht="15.75" customHeight="1" s="16"/>
    <row r="389" ht="15.75" customHeight="1" s="16"/>
    <row r="390" ht="15.75" customHeight="1" s="16"/>
    <row r="391" ht="15.75" customHeight="1" s="16"/>
    <row r="392" ht="15.75" customHeight="1" s="16"/>
    <row r="393" ht="15.75" customHeight="1" s="16"/>
    <row r="394" ht="15.75" customHeight="1" s="16"/>
    <row r="395" ht="15.75" customHeight="1" s="16"/>
    <row r="396" ht="15.75" customHeight="1" s="16"/>
    <row r="397" ht="15.75" customHeight="1" s="16"/>
    <row r="398" ht="15.75" customHeight="1" s="16"/>
    <row r="399" ht="15.75" customHeight="1" s="16"/>
    <row r="400" ht="15.75" customHeight="1" s="16"/>
    <row r="401" ht="15.75" customHeight="1" s="16"/>
    <row r="402" ht="15.75" customHeight="1" s="16"/>
    <row r="403" ht="15.75" customHeight="1" s="16"/>
    <row r="404" ht="15.75" customHeight="1" s="16"/>
    <row r="405" ht="15.75" customHeight="1" s="16"/>
    <row r="406" ht="15.75" customHeight="1" s="16"/>
    <row r="407" ht="15.75" customHeight="1" s="16"/>
    <row r="408" ht="15.75" customHeight="1" s="16"/>
    <row r="409" ht="15.75" customHeight="1" s="16"/>
    <row r="410" ht="15.75" customHeight="1" s="16"/>
    <row r="411" ht="15.75" customHeight="1" s="16"/>
    <row r="412" ht="15.75" customHeight="1" s="16"/>
    <row r="413" ht="15.75" customHeight="1" s="16"/>
    <row r="414" ht="15.75" customHeight="1" s="16"/>
    <row r="415" ht="15.75" customHeight="1" s="16"/>
    <row r="416" ht="15.75" customHeight="1" s="16"/>
    <row r="417" ht="15.75" customHeight="1" s="16"/>
    <row r="418" ht="15.75" customHeight="1" s="16"/>
    <row r="419" ht="15.75" customHeight="1" s="16"/>
    <row r="420" ht="15.75" customHeight="1" s="16"/>
    <row r="421" ht="15.75" customHeight="1" s="16"/>
    <row r="422" ht="15.75" customHeight="1" s="16"/>
    <row r="423" ht="15.75" customHeight="1" s="16"/>
    <row r="424" ht="15.75" customHeight="1" s="16"/>
    <row r="425" ht="15.75" customHeight="1" s="16"/>
    <row r="426" ht="15.75" customHeight="1" s="16"/>
    <row r="427" ht="15.75" customHeight="1" s="16"/>
    <row r="428" ht="15.75" customHeight="1" s="16"/>
    <row r="429" ht="15.75" customHeight="1" s="16"/>
    <row r="430" ht="15.75" customHeight="1" s="16"/>
    <row r="431" ht="15.75" customHeight="1" s="16"/>
    <row r="432" ht="15.75" customHeight="1" s="16"/>
    <row r="433" ht="15.75" customHeight="1" s="16"/>
    <row r="434" ht="15.75" customHeight="1" s="16"/>
    <row r="435" ht="15.75" customHeight="1" s="16"/>
    <row r="436" ht="15.75" customHeight="1" s="16"/>
    <row r="437" ht="15.75" customHeight="1" s="16"/>
    <row r="438" ht="15.75" customHeight="1" s="16"/>
    <row r="439" ht="15.75" customHeight="1" s="16"/>
    <row r="440" ht="15.75" customHeight="1" s="16"/>
    <row r="441" ht="15.75" customHeight="1" s="16"/>
    <row r="442" ht="15.75" customHeight="1" s="16"/>
    <row r="443" ht="15.75" customHeight="1" s="16"/>
    <row r="444" ht="15.75" customHeight="1" s="16"/>
    <row r="445" ht="15.75" customHeight="1" s="16"/>
    <row r="446" ht="15.75" customHeight="1" s="16"/>
    <row r="447" ht="15.75" customHeight="1" s="16"/>
    <row r="448" ht="15.75" customHeight="1" s="16"/>
    <row r="449" ht="15.75" customHeight="1" s="16"/>
    <row r="450" ht="15.75" customHeight="1" s="16"/>
    <row r="451" ht="15.75" customHeight="1" s="16"/>
    <row r="452" ht="15.75" customHeight="1" s="16"/>
    <row r="453" ht="15.75" customHeight="1" s="16"/>
    <row r="454" ht="15.75" customHeight="1" s="16"/>
    <row r="455" ht="15.75" customHeight="1" s="16"/>
    <row r="456" ht="15.75" customHeight="1" s="16"/>
    <row r="457" ht="15.75" customHeight="1" s="16"/>
    <row r="458" ht="15.75" customHeight="1" s="16"/>
    <row r="459" ht="15.75" customHeight="1" s="16"/>
    <row r="460" ht="15.75" customHeight="1" s="16"/>
    <row r="461" ht="15.75" customHeight="1" s="16"/>
    <row r="462" ht="15.75" customHeight="1" s="16"/>
    <row r="463" ht="15.75" customHeight="1" s="16"/>
    <row r="464" ht="15.75" customHeight="1" s="16"/>
    <row r="465" ht="15.75" customHeight="1" s="16"/>
    <row r="466" ht="15.75" customHeight="1" s="16"/>
    <row r="467" ht="15.75" customHeight="1" s="16"/>
    <row r="468" ht="15.75" customHeight="1" s="16"/>
    <row r="469" ht="15.75" customHeight="1" s="16"/>
    <row r="470" ht="15.75" customHeight="1" s="16"/>
    <row r="471" ht="15.75" customHeight="1" s="16"/>
    <row r="472" ht="15.75" customHeight="1" s="16"/>
    <row r="473" ht="15.75" customHeight="1" s="16"/>
    <row r="474" ht="15.75" customHeight="1" s="16"/>
    <row r="475" ht="15.75" customHeight="1" s="16"/>
    <row r="476" ht="15.75" customHeight="1" s="16"/>
    <row r="477" ht="15.75" customHeight="1" s="16"/>
    <row r="478" ht="15.75" customHeight="1" s="16"/>
    <row r="479" ht="15.75" customHeight="1" s="16"/>
    <row r="480" ht="15.75" customHeight="1" s="16"/>
    <row r="481" ht="15.75" customHeight="1" s="16"/>
    <row r="482" ht="15.75" customHeight="1" s="16"/>
    <row r="483" ht="15.75" customHeight="1" s="16"/>
    <row r="484" ht="15.75" customHeight="1" s="16"/>
    <row r="485" ht="15.75" customHeight="1" s="16"/>
    <row r="486" ht="15.75" customHeight="1" s="16"/>
    <row r="487" ht="15.75" customHeight="1" s="16"/>
    <row r="488" ht="15.75" customHeight="1" s="16"/>
    <row r="489" ht="15.75" customHeight="1" s="16"/>
    <row r="490" ht="15.75" customHeight="1" s="16"/>
    <row r="491" ht="15.75" customHeight="1" s="16"/>
    <row r="492" ht="15.75" customHeight="1" s="16"/>
    <row r="493" ht="15.75" customHeight="1" s="16"/>
    <row r="494" ht="15.75" customHeight="1" s="16"/>
    <row r="495" ht="15.75" customHeight="1" s="16"/>
    <row r="496" ht="15.75" customHeight="1" s="16"/>
    <row r="497" ht="15.75" customHeight="1" s="16"/>
    <row r="498" ht="15.75" customHeight="1" s="16"/>
    <row r="499" ht="15.75" customHeight="1" s="16"/>
    <row r="500" ht="15.75" customHeight="1" s="16"/>
    <row r="501" ht="15.75" customHeight="1" s="16"/>
    <row r="502" ht="15.75" customHeight="1" s="16"/>
    <row r="503" ht="15.75" customHeight="1" s="16"/>
    <row r="504" ht="15.75" customHeight="1" s="16"/>
    <row r="505" ht="15.75" customHeight="1" s="16"/>
    <row r="506" ht="15.75" customHeight="1" s="16"/>
    <row r="507" ht="15.75" customHeight="1" s="16"/>
    <row r="508" ht="15.75" customHeight="1" s="16"/>
    <row r="509" ht="15.75" customHeight="1" s="16"/>
    <row r="510" ht="15.75" customHeight="1" s="16"/>
    <row r="511" ht="15.75" customHeight="1" s="16"/>
    <row r="512" ht="15.75" customHeight="1" s="16"/>
    <row r="513" ht="15.75" customHeight="1" s="16"/>
    <row r="514" ht="15.75" customHeight="1" s="16"/>
    <row r="515" ht="15.75" customHeight="1" s="16"/>
    <row r="516" ht="15.75" customHeight="1" s="16"/>
    <row r="517" ht="15.75" customHeight="1" s="16"/>
    <row r="518" ht="15.75" customHeight="1" s="16"/>
    <row r="519" ht="15.75" customHeight="1" s="16"/>
    <row r="520" ht="15.75" customHeight="1" s="16"/>
    <row r="521" ht="15.75" customHeight="1" s="16"/>
    <row r="522" ht="15.75" customHeight="1" s="16"/>
    <row r="523" ht="15.75" customHeight="1" s="16"/>
    <row r="524" ht="15.75" customHeight="1" s="16"/>
    <row r="525" ht="15.75" customHeight="1" s="16"/>
    <row r="526" ht="15.75" customHeight="1" s="16"/>
    <row r="527" ht="15.75" customHeight="1" s="16"/>
    <row r="528" ht="15.75" customHeight="1" s="16"/>
    <row r="529" ht="15.75" customHeight="1" s="16"/>
    <row r="530" ht="15.75" customHeight="1" s="16"/>
    <row r="531" ht="15.75" customHeight="1" s="16"/>
    <row r="532" ht="15.75" customHeight="1" s="16"/>
    <row r="533" ht="15.75" customHeight="1" s="16"/>
    <row r="534" ht="15.75" customHeight="1" s="16"/>
    <row r="535" ht="15.75" customHeight="1" s="16"/>
    <row r="536" ht="15.75" customHeight="1" s="16"/>
    <row r="537" ht="15.75" customHeight="1" s="16"/>
    <row r="538" ht="15.75" customHeight="1" s="16"/>
    <row r="539" ht="15.75" customHeight="1" s="16"/>
    <row r="540" ht="15.75" customHeight="1" s="16"/>
    <row r="541" ht="15.75" customHeight="1" s="16"/>
    <row r="542" ht="15.75" customHeight="1" s="16"/>
    <row r="543" ht="15.75" customHeight="1" s="16"/>
    <row r="544" ht="15.75" customHeight="1" s="16"/>
    <row r="545" ht="15.75" customHeight="1" s="16"/>
    <row r="546" ht="15.75" customHeight="1" s="16"/>
    <row r="547" ht="15.75" customHeight="1" s="16"/>
    <row r="548" ht="15.75" customHeight="1" s="16"/>
    <row r="549" ht="15.75" customHeight="1" s="16"/>
    <row r="550" ht="15.75" customHeight="1" s="16"/>
    <row r="551" ht="15.75" customHeight="1" s="16"/>
    <row r="552" ht="15.75" customHeight="1" s="16"/>
    <row r="553" ht="15.75" customHeight="1" s="16"/>
    <row r="554" ht="15.75" customHeight="1" s="16"/>
    <row r="555" ht="15.75" customHeight="1" s="16"/>
    <row r="556" ht="15.75" customHeight="1" s="16"/>
    <row r="557" ht="15.75" customHeight="1" s="16"/>
    <row r="558" ht="15.75" customHeight="1" s="16"/>
    <row r="559" ht="15.75" customHeight="1" s="16"/>
    <row r="560" ht="15.75" customHeight="1" s="16"/>
    <row r="561" ht="15.75" customHeight="1" s="16"/>
    <row r="562" ht="15.75" customHeight="1" s="16"/>
    <row r="563" ht="15.75" customHeight="1" s="16"/>
    <row r="564" ht="15.75" customHeight="1" s="16"/>
    <row r="565" ht="15.75" customHeight="1" s="16"/>
    <row r="566" ht="15.75" customHeight="1" s="16"/>
    <row r="567" ht="15.75" customHeight="1" s="16"/>
    <row r="568" ht="15.75" customHeight="1" s="16"/>
    <row r="569" ht="15.75" customHeight="1" s="16"/>
    <row r="570" ht="15.75" customHeight="1" s="16"/>
    <row r="571" ht="15.75" customHeight="1" s="16"/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</sheetData>
  <mergeCells count="5">
    <mergeCell ref="A1:C1"/>
    <mergeCell ref="A5:C5"/>
    <mergeCell ref="A3:C3"/>
    <mergeCell ref="A4:C4"/>
    <mergeCell ref="A2:C2"/>
  </mergeCells>
  <conditionalFormatting sqref="A8:D18">
    <cfRule type="expression" priority="1" dxfId="44">
      <formula>$D8=TRUE</formula>
    </cfRule>
  </conditionalFormatting>
  <conditionalFormatting sqref="I19">
    <cfRule type="notContainsBlanks" priority="2" dxfId="43">
      <formula>LEN(TRIM(I19))&gt;0</formula>
    </cfRule>
  </conditionalFormatting>
  <dataValidations count="2">
    <dataValidation sqref="C8:C18" showDropDown="0" showInputMessage="0" showErrorMessage="0" allowBlank="1" type="list">
      <formula1>"Asset,Liability"</formula1>
    </dataValidation>
    <dataValidation sqref="B8:B18" showDropDown="1" showInputMessage="0" showErrorMessage="0" allowBlank="1" type="custom">
      <formula1>AND(ISNUMBER(B8),(NOT(OR(NOT(ISERROR(DATEVALUE(B8))), AND(ISNUMBER(B8), LEFT(CELL("format", B8))="D")))))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7"/>
  <sheetViews>
    <sheetView zoomScale="125" workbookViewId="0">
      <selection activeCell="B44" sqref="B44"/>
    </sheetView>
  </sheetViews>
  <sheetFormatPr baseColWidth="10" defaultColWidth="14.5" defaultRowHeight="15" customHeight="1"/>
  <cols>
    <col width="30.6640625" customWidth="1" style="26" min="1" max="1"/>
    <col width="17.5" customWidth="1" style="26" min="2" max="2"/>
    <col width="19.5" customWidth="1" style="26" min="3" max="3"/>
    <col width="18.5" customWidth="1" style="26" min="4" max="4"/>
    <col width="18.6640625" customWidth="1" style="26" min="5" max="5"/>
    <col width="2.1640625" customWidth="1" style="26" min="6" max="6"/>
    <col width="23.1640625" customWidth="1" style="26" min="7" max="7"/>
    <col width="10.5" customWidth="1" style="26" min="8" max="8"/>
    <col width="12" customWidth="1" style="26" min="9" max="9"/>
    <col width="8.6640625" customWidth="1" style="26" min="10" max="26"/>
    <col width="14.5" customWidth="1" style="26" min="27" max="16384"/>
  </cols>
  <sheetData>
    <row r="1" ht="22.5" customFormat="1" customHeight="1" s="26">
      <c r="A1" s="25" t="inlineStr">
        <is>
          <t>Name</t>
        </is>
      </c>
      <c r="B1" s="25" t="inlineStr">
        <is>
          <t>Amount</t>
        </is>
      </c>
      <c r="C1" s="25" t="inlineStr">
        <is>
          <t>Frequency</t>
        </is>
      </c>
      <c r="D1" s="25" t="inlineStr">
        <is>
          <t>Next Due</t>
        </is>
      </c>
      <c r="E1" s="25" t="inlineStr">
        <is>
          <t>Last Paid</t>
        </is>
      </c>
      <c r="G1" s="48" t="inlineStr">
        <is>
          <t>Total Monthly Fixed</t>
        </is>
      </c>
      <c r="I1" s="49">
        <f>SUMIFS(B2:B87, C2:C87, "&lt;&gt;Annually", C2:C87, "&lt;&gt;Quarterly", C2:C87, "&lt;&gt;Prepaid", C2:C87, "&lt;&gt;Debt", C2:C87, "&lt;&gt;N/A - Annually", C2:C87, "&lt;&gt;N/A - Monthly")</f>
        <v/>
      </c>
      <c r="K1" s="30" t="n"/>
    </row>
    <row r="2" ht="22.5" customFormat="1" customHeight="1" s="26">
      <c r="A2" s="31" t="inlineStr">
        <is>
          <t>M&amp;T Bank</t>
        </is>
      </c>
      <c r="B2" s="23" t="n">
        <v>384.03</v>
      </c>
      <c r="C2" s="44" t="inlineStr">
        <is>
          <t>Annually</t>
        </is>
      </c>
      <c r="D2" s="32" t="n">
        <v>46156</v>
      </c>
      <c r="E2" s="32" t="n">
        <v>46143</v>
      </c>
      <c r="G2" s="48" t="inlineStr">
        <is>
          <t>Safe to Spend</t>
        </is>
      </c>
      <c r="I2" s="50">
        <f>SUMIFS(Table1[Balance],Table1[Type],"Asset")-SUMIFS(Table1[Balance],Table1[Type],"Liability")</f>
        <v/>
      </c>
      <c r="K2" s="30" t="n"/>
    </row>
    <row r="3" ht="16" customFormat="1" customHeight="1" s="26">
      <c r="A3" s="31" t="inlineStr">
        <is>
          <t>Travelers</t>
        </is>
      </c>
      <c r="B3" s="23" t="n">
        <v>160.11</v>
      </c>
      <c r="C3" s="44" t="inlineStr">
        <is>
          <t>Monthly</t>
        </is>
      </c>
      <c r="D3" s="32" t="n">
        <v>46156</v>
      </c>
      <c r="E3" s="32" t="n"/>
      <c r="H3" s="34" t="n"/>
    </row>
    <row r="4" ht="16" customFormat="1" customHeight="1" s="26">
      <c r="A4" s="31" t="inlineStr">
        <is>
          <t>Minecraft Realms</t>
        </is>
      </c>
      <c r="B4" s="23" t="n">
        <v>7.99</v>
      </c>
      <c r="C4" s="44" t="inlineStr">
        <is>
          <t>Monthly</t>
        </is>
      </c>
      <c r="D4" s="32" t="n">
        <v>46157</v>
      </c>
      <c r="E4" s="32" t="n"/>
      <c r="H4" s="34" t="n"/>
    </row>
    <row r="5" ht="16" customFormat="1" customHeight="1" s="26">
      <c r="A5" s="31" t="inlineStr">
        <is>
          <t>Spotify</t>
        </is>
      </c>
      <c r="B5" s="23" t="n">
        <v>5.99</v>
      </c>
      <c r="C5" s="44" t="inlineStr">
        <is>
          <t>Monthly</t>
        </is>
      </c>
      <c r="D5" s="32" t="n">
        <v>46158</v>
      </c>
      <c r="E5" s="32" t="n"/>
    </row>
    <row r="6" ht="16" customFormat="1" customHeight="1" s="26">
      <c r="A6" s="44" t="inlineStr">
        <is>
          <t>Markin Locker Rental</t>
        </is>
      </c>
      <c r="B6" s="23" t="n">
        <v>7</v>
      </c>
      <c r="C6" s="44" t="inlineStr">
        <is>
          <t>Prepaid</t>
        </is>
      </c>
      <c r="D6" s="32" t="n">
        <v>46158</v>
      </c>
      <c r="E6" s="32" t="n"/>
    </row>
    <row r="7" ht="16" customFormat="1" customHeight="1" s="26">
      <c r="A7" s="31" t="inlineStr">
        <is>
          <t>T-Mobile</t>
        </is>
      </c>
      <c r="B7" s="23" t="n">
        <v>40</v>
      </c>
      <c r="C7" s="44" t="inlineStr">
        <is>
          <t>Monthly</t>
        </is>
      </c>
      <c r="D7" s="32" t="n">
        <v>46162</v>
      </c>
      <c r="E7" s="32" t="n">
        <v>46164</v>
      </c>
    </row>
    <row r="8" ht="16" customFormat="1" customHeight="1" s="26">
      <c r="A8" s="31" t="inlineStr">
        <is>
          <t>T-Fiber</t>
        </is>
      </c>
      <c r="B8" s="23" t="n">
        <v>69.98999999999999</v>
      </c>
      <c r="C8" s="44" t="inlineStr">
        <is>
          <t>Monthly</t>
        </is>
      </c>
      <c r="D8" s="32" t="n">
        <v>46166</v>
      </c>
      <c r="E8" s="32" t="n"/>
    </row>
    <row r="9" ht="16" customFormat="1" customHeight="1" s="26">
      <c r="A9" s="31" t="inlineStr">
        <is>
          <t>iCloud Storage</t>
        </is>
      </c>
      <c r="B9" s="23" t="n">
        <v>9.99</v>
      </c>
      <c r="C9" s="44" t="inlineStr">
        <is>
          <t>Monthly</t>
        </is>
      </c>
      <c r="D9" s="32" t="n">
        <v>46168</v>
      </c>
      <c r="E9" s="32" t="n"/>
    </row>
    <row r="10" ht="16" customFormat="1" customHeight="1" s="26">
      <c r="A10" s="31" t="inlineStr">
        <is>
          <t>Cubesmart</t>
        </is>
      </c>
      <c r="B10" s="23" t="n">
        <v>65</v>
      </c>
      <c r="C10" s="44" t="inlineStr">
        <is>
          <t>Monthly</t>
        </is>
      </c>
      <c r="D10" s="32" t="n">
        <v>46170</v>
      </c>
      <c r="E10" s="32" t="n"/>
    </row>
    <row r="11" ht="16" customFormat="1" customHeight="1" s="26">
      <c r="A11" s="31" t="inlineStr">
        <is>
          <t>UofI Med</t>
        </is>
      </c>
      <c r="B11" s="23" t="n">
        <v>60</v>
      </c>
      <c r="C11" s="44" t="inlineStr">
        <is>
          <t>Monthly</t>
        </is>
      </c>
      <c r="D11" s="32" t="n">
        <v>46170</v>
      </c>
      <c r="E11" s="32" t="n"/>
    </row>
    <row r="12" ht="16" customFormat="1" customHeight="1" s="26">
      <c r="A12" s="44" t="inlineStr">
        <is>
          <t>Costco</t>
        </is>
      </c>
      <c r="B12" s="23" t="n">
        <v>130</v>
      </c>
      <c r="C12" s="44" t="inlineStr">
        <is>
          <t>Annually</t>
        </is>
      </c>
      <c r="D12" s="32" t="n">
        <v>46173</v>
      </c>
      <c r="E12" s="32" t="n"/>
    </row>
    <row r="13" ht="16" customFormat="1" customHeight="1" s="26">
      <c r="A13" s="44" t="inlineStr">
        <is>
          <t>Wildren Allowance</t>
        </is>
      </c>
      <c r="B13" s="23" t="n">
        <v>64</v>
      </c>
      <c r="C13" s="44" t="inlineStr">
        <is>
          <t>Monthly</t>
        </is>
      </c>
      <c r="D13" s="32" t="n">
        <v>46174</v>
      </c>
      <c r="E13" s="32" t="n">
        <v>46154</v>
      </c>
    </row>
    <row r="14" ht="16" customFormat="1" customHeight="1" s="26">
      <c r="A14" s="44" t="inlineStr">
        <is>
          <t>Josh Graham-Studio Rent</t>
        </is>
      </c>
      <c r="B14" s="23" t="n">
        <v>400</v>
      </c>
      <c r="C14" s="44" t="inlineStr">
        <is>
          <t>Monthly</t>
        </is>
      </c>
      <c r="D14" s="32" t="n">
        <v>46174</v>
      </c>
      <c r="E14" s="32" t="n">
        <v>46150</v>
      </c>
    </row>
    <row r="15" ht="16" customFormat="1" customHeight="1" s="26">
      <c r="A15" s="31" t="inlineStr">
        <is>
          <t>Ameren</t>
        </is>
      </c>
      <c r="B15" s="23" t="n">
        <v>300</v>
      </c>
      <c r="C15" s="44" t="inlineStr">
        <is>
          <t>Monthly</t>
        </is>
      </c>
      <c r="D15" s="32" t="n">
        <v>46174</v>
      </c>
      <c r="E15" s="32" t="n">
        <v>46127</v>
      </c>
    </row>
    <row r="16" ht="16" customFormat="1" customHeight="1" s="26">
      <c r="A16" s="31" t="inlineStr">
        <is>
          <t>American Water</t>
        </is>
      </c>
      <c r="B16" s="23" t="n">
        <v>70</v>
      </c>
      <c r="C16" s="44" t="inlineStr">
        <is>
          <t>Monthly</t>
        </is>
      </c>
      <c r="D16" s="32" t="n">
        <v>46174</v>
      </c>
      <c r="E16" s="32" t="n">
        <v>45981</v>
      </c>
    </row>
    <row r="17" ht="16" customFormat="1" customHeight="1" s="26">
      <c r="A17" s="31" t="inlineStr">
        <is>
          <t>Stormwater</t>
        </is>
      </c>
      <c r="B17" s="23" t="n">
        <v>39</v>
      </c>
      <c r="C17" s="44" t="inlineStr">
        <is>
          <t>Quarterly</t>
        </is>
      </c>
      <c r="D17" s="32" t="n">
        <v>46174</v>
      </c>
      <c r="E17" s="32" t="n"/>
    </row>
    <row r="18" ht="16" customFormat="1" customHeight="1" s="26">
      <c r="A18" s="44" t="inlineStr">
        <is>
          <t>Spotify (jgw)</t>
        </is>
      </c>
      <c r="B18" s="23" t="n">
        <v>30</v>
      </c>
      <c r="C18" s="44" t="inlineStr">
        <is>
          <t>Prepaid</t>
        </is>
      </c>
      <c r="D18" s="32" t="n">
        <v>46181</v>
      </c>
      <c r="E18" s="32" t="n">
        <v>46150</v>
      </c>
    </row>
    <row r="19" ht="16" customFormat="1" customHeight="1" s="26">
      <c r="A19" s="44" t="inlineStr">
        <is>
          <t>Youtube ($25)</t>
        </is>
      </c>
      <c r="B19" s="23" t="n">
        <v>7.99</v>
      </c>
      <c r="C19" s="44" t="inlineStr">
        <is>
          <t>Prepaid</t>
        </is>
      </c>
      <c r="D19" s="32" t="n">
        <v>46189</v>
      </c>
      <c r="E19" s="32" t="n"/>
    </row>
    <row r="20" ht="16" customFormat="1" customHeight="1" s="26">
      <c r="A20" s="44" t="inlineStr">
        <is>
          <t>MTNA Membership</t>
        </is>
      </c>
      <c r="B20" s="23" t="n">
        <v>156</v>
      </c>
      <c r="C20" s="44" t="inlineStr">
        <is>
          <t>Annually</t>
        </is>
      </c>
      <c r="D20" s="32" t="n">
        <v>46203</v>
      </c>
      <c r="E20" s="32" t="n"/>
    </row>
    <row r="21" ht="16" customFormat="1" customHeight="1" s="26">
      <c r="A21" s="31" t="inlineStr">
        <is>
          <t>SMS</t>
        </is>
      </c>
      <c r="B21" s="23" t="n">
        <v>1138.68</v>
      </c>
      <c r="C21" s="44" t="inlineStr">
        <is>
          <t>Monthly</t>
        </is>
      </c>
      <c r="D21" s="32" t="n">
        <v>46204</v>
      </c>
      <c r="E21" s="32" t="n">
        <v>46167</v>
      </c>
    </row>
    <row r="22" ht="16" customFormat="1" customHeight="1" s="26">
      <c r="A22" s="44" t="inlineStr">
        <is>
          <t>Siteground Domain</t>
        </is>
      </c>
      <c r="B22" s="23" t="n">
        <v>19.99</v>
      </c>
      <c r="C22" s="44" t="inlineStr">
        <is>
          <t>Annually</t>
        </is>
      </c>
      <c r="D22" s="32" t="n">
        <v>46221</v>
      </c>
      <c r="E22" s="32" t="n"/>
    </row>
    <row r="23" ht="16" customFormat="1" customHeight="1" s="26">
      <c r="A23" s="44" t="inlineStr">
        <is>
          <t>ClearVPN</t>
        </is>
      </c>
      <c r="B23" s="23" t="n">
        <v>44.99</v>
      </c>
      <c r="C23" s="44" t="inlineStr">
        <is>
          <t>Annually</t>
        </is>
      </c>
      <c r="D23" s="32" t="n">
        <v>46280</v>
      </c>
      <c r="E23" s="32" t="n"/>
    </row>
    <row r="24" ht="16" customFormat="1" customHeight="1" s="26">
      <c r="A24" s="44" t="inlineStr">
        <is>
          <t>Strava</t>
        </is>
      </c>
      <c r="B24" s="23" t="n">
        <v>39.99</v>
      </c>
      <c r="C24" s="44" t="inlineStr">
        <is>
          <t>Annually</t>
        </is>
      </c>
      <c r="D24" s="32" t="n">
        <v>46287</v>
      </c>
      <c r="E24" s="32" t="n"/>
    </row>
    <row r="25" ht="16" customFormat="1" customHeight="1" s="26">
      <c r="A25" s="44" t="inlineStr">
        <is>
          <t>Pokémon Home</t>
        </is>
      </c>
      <c r="B25" s="23" t="n">
        <v>15.99</v>
      </c>
      <c r="C25" s="44" t="inlineStr">
        <is>
          <t>Annually</t>
        </is>
      </c>
      <c r="D25" s="32" t="n">
        <v>46307</v>
      </c>
      <c r="E25" s="32" t="n"/>
    </row>
    <row r="26" ht="16" customFormat="1" customHeight="1" s="26">
      <c r="A26" s="31" t="inlineStr">
        <is>
          <t>Sam's Club</t>
        </is>
      </c>
      <c r="B26" s="23" t="n">
        <v>130</v>
      </c>
      <c r="C26" s="44" t="inlineStr">
        <is>
          <t>Annually</t>
        </is>
      </c>
      <c r="D26" s="32" t="n">
        <v>46313</v>
      </c>
      <c r="E26" s="32" t="n"/>
    </row>
    <row r="27" ht="16" customFormat="1" customHeight="1" s="26">
      <c r="A27" s="44" t="inlineStr">
        <is>
          <t>Canva Pro</t>
        </is>
      </c>
      <c r="B27" s="23" t="n">
        <v>120</v>
      </c>
      <c r="C27" s="44" t="inlineStr">
        <is>
          <t>Annually</t>
        </is>
      </c>
      <c r="D27" s="32" t="n">
        <v>46361</v>
      </c>
      <c r="E27" s="32" t="n"/>
    </row>
    <row r="28" ht="16" customFormat="1" customHeight="1" s="26">
      <c r="A28" s="44" t="inlineStr">
        <is>
          <t>Perplexity</t>
        </is>
      </c>
      <c r="B28" s="23" t="n">
        <v>200</v>
      </c>
      <c r="C28" s="44" t="inlineStr">
        <is>
          <t>Prepaid</t>
        </is>
      </c>
      <c r="D28" s="32" t="n">
        <v>46363</v>
      </c>
      <c r="E28" s="32" t="n"/>
    </row>
    <row r="29" ht="16" customFormat="1" customHeight="1" s="26">
      <c r="A29" s="44" t="inlineStr">
        <is>
          <t>Nissan Versa</t>
        </is>
      </c>
      <c r="B29" s="23" t="n">
        <v>151</v>
      </c>
      <c r="C29" s="44" t="inlineStr">
        <is>
          <t>Annually</t>
        </is>
      </c>
      <c r="D29" s="32" t="n">
        <v>46387</v>
      </c>
      <c r="E29" s="32" t="n"/>
    </row>
    <row r="30" ht="16" customFormat="1" customHeight="1" s="26">
      <c r="A30" s="44" t="inlineStr">
        <is>
          <t>Apple Arcade</t>
        </is>
      </c>
      <c r="B30" s="23" t="n">
        <v>50</v>
      </c>
      <c r="C30" s="44" t="inlineStr">
        <is>
          <t>Annually</t>
        </is>
      </c>
      <c r="D30" s="32" t="n">
        <v>46389</v>
      </c>
      <c r="E30" s="32" t="n"/>
    </row>
    <row r="31" ht="16" customFormat="1" customHeight="1" s="26">
      <c r="A31" s="44" t="inlineStr">
        <is>
          <t>Nintendo Switch Online</t>
        </is>
      </c>
      <c r="B31" s="23" t="n">
        <v>79.98999999999999</v>
      </c>
      <c r="C31" s="44" t="inlineStr">
        <is>
          <t>Annually</t>
        </is>
      </c>
      <c r="D31" s="32" t="n">
        <v>46405</v>
      </c>
      <c r="E31" s="32" t="n"/>
    </row>
    <row r="32" ht="16" customFormat="1" customHeight="1" s="26">
      <c r="A32" s="44" t="inlineStr">
        <is>
          <t>Google Workspace</t>
        </is>
      </c>
      <c r="B32" s="23" t="n">
        <v>168</v>
      </c>
      <c r="C32" s="44" t="inlineStr">
        <is>
          <t>Prepaid</t>
        </is>
      </c>
      <c r="D32" s="32" t="n">
        <v>46437</v>
      </c>
      <c r="E32" s="32" t="n"/>
    </row>
    <row r="33" ht="16" customFormat="1" customHeight="1" s="26">
      <c r="A33" s="44" t="inlineStr">
        <is>
          <t>1Password ($5.30)</t>
        </is>
      </c>
      <c r="B33" s="23" t="n">
        <v>71.88</v>
      </c>
      <c r="C33" s="44" t="inlineStr">
        <is>
          <t>Prepaid</t>
        </is>
      </c>
      <c r="D33" s="32" t="n">
        <v>46438</v>
      </c>
      <c r="E33" s="32" t="n"/>
    </row>
    <row r="34" ht="16" customFormat="1" customHeight="1" s="26">
      <c r="A34" s="44" t="inlineStr">
        <is>
          <t>Claude Pro</t>
        </is>
      </c>
      <c r="B34" s="23" t="n">
        <v>200</v>
      </c>
      <c r="C34" s="44" t="inlineStr">
        <is>
          <t>Annually</t>
        </is>
      </c>
      <c r="D34" s="32" t="n">
        <v>46440</v>
      </c>
      <c r="E34" s="32" t="n"/>
    </row>
    <row r="35" ht="16" customFormat="1" customHeight="1" s="26">
      <c r="A35" s="44" t="inlineStr">
        <is>
          <t>Wand</t>
        </is>
      </c>
      <c r="B35" s="23" t="n">
        <v>69.98999999999999</v>
      </c>
      <c r="C35" s="44" t="inlineStr">
        <is>
          <t>Annually</t>
        </is>
      </c>
      <c r="D35" s="32" t="n">
        <v>46449</v>
      </c>
      <c r="E35" s="32" t="n"/>
    </row>
    <row r="36" ht="16" customFormat="1" customHeight="1" s="26">
      <c r="A36" s="44" t="inlineStr">
        <is>
          <t>Mobilism</t>
        </is>
      </c>
      <c r="B36" s="23" t="n">
        <v>25</v>
      </c>
      <c r="C36" s="44" t="inlineStr">
        <is>
          <t>Prepaid</t>
        </is>
      </c>
      <c r="D36" s="32" t="n">
        <v>46455</v>
      </c>
      <c r="E36" s="32" t="n"/>
    </row>
    <row r="37" ht="16" customFormat="1" customHeight="1" s="26">
      <c r="A37" s="44" t="inlineStr">
        <is>
          <t>MuseScore</t>
        </is>
      </c>
      <c r="B37" s="23" t="n">
        <v>29.99</v>
      </c>
      <c r="C37" s="44" t="inlineStr">
        <is>
          <t>Annually</t>
        </is>
      </c>
      <c r="D37" s="32" t="n">
        <v>46464</v>
      </c>
      <c r="E37" s="32" t="n"/>
    </row>
    <row r="38" ht="16" customFormat="1" customHeight="1" s="26">
      <c r="A38" s="44" t="inlineStr">
        <is>
          <t>Amazon</t>
        </is>
      </c>
      <c r="B38" s="23" t="n">
        <v>69</v>
      </c>
      <c r="C38" s="44" t="inlineStr">
        <is>
          <t>Annually</t>
        </is>
      </c>
      <c r="D38" s="32" t="n">
        <v>46472</v>
      </c>
      <c r="E38" s="32" t="n"/>
    </row>
    <row r="39" ht="16" customFormat="1" customHeight="1" s="26">
      <c r="A39" s="44" t="inlineStr">
        <is>
          <t>Paramount+ Walmart</t>
        </is>
      </c>
      <c r="B39" s="23" t="n">
        <v>0</v>
      </c>
      <c r="C39" s="44" t="inlineStr">
        <is>
          <t>Annually</t>
        </is>
      </c>
      <c r="D39" s="32" t="n">
        <v>46474</v>
      </c>
      <c r="E39" s="32" t="n"/>
    </row>
    <row r="40" ht="16" customFormat="1" customHeight="1" s="26">
      <c r="A40" s="44" t="inlineStr">
        <is>
          <t>Walmart</t>
        </is>
      </c>
      <c r="B40" s="23" t="n">
        <v>78</v>
      </c>
      <c r="C40" s="44" t="inlineStr">
        <is>
          <t>Annually</t>
        </is>
      </c>
      <c r="D40" s="32" t="n">
        <v>46474</v>
      </c>
      <c r="E40" s="32" t="n"/>
    </row>
    <row r="41" ht="16" customFormat="1" customHeight="1" s="26">
      <c r="A41" s="44" t="inlineStr">
        <is>
          <t>Nissan Murano</t>
        </is>
      </c>
      <c r="B41" s="23" t="n">
        <v>151</v>
      </c>
      <c r="C41" s="44" t="inlineStr">
        <is>
          <t>Annually</t>
        </is>
      </c>
      <c r="D41" s="32" t="n">
        <v>46477</v>
      </c>
      <c r="E41" s="32" t="n"/>
    </row>
    <row r="42" ht="16" customFormat="1" customHeight="1" s="26">
      <c r="A42" s="44" t="inlineStr">
        <is>
          <t>Google One (pcez31)</t>
        </is>
      </c>
      <c r="B42" s="23" t="n">
        <v>29.99</v>
      </c>
      <c r="C42" s="44" t="inlineStr">
        <is>
          <t>Annually</t>
        </is>
      </c>
      <c r="D42" s="32" t="n">
        <v>46508</v>
      </c>
      <c r="E42" s="32" t="n"/>
    </row>
    <row r="43" ht="16" customFormat="1" customHeight="1" s="26">
      <c r="A43" s="44" t="inlineStr">
        <is>
          <t>Apple Creator Studio</t>
        </is>
      </c>
      <c r="B43" s="23" t="n">
        <v>29.99</v>
      </c>
      <c r="C43" s="44" t="inlineStr">
        <is>
          <t>Annually</t>
        </is>
      </c>
      <c r="D43" s="32" t="n">
        <v>46510</v>
      </c>
      <c r="E43" s="32" t="n"/>
    </row>
    <row r="44" ht="16" customFormat="1" customHeight="1" s="26">
      <c r="A44" s="44" t="inlineStr">
        <is>
          <t>Student Loans: CMW -1/27/26</t>
        </is>
      </c>
      <c r="B44" s="23" t="n">
        <v>64356.98</v>
      </c>
      <c r="C44" s="44" t="inlineStr">
        <is>
          <t>Debt</t>
        </is>
      </c>
      <c r="D44" s="32" t="n">
        <v>46553</v>
      </c>
      <c r="E44" s="32" t="n"/>
    </row>
    <row r="45" ht="16" customFormat="1" customHeight="1" s="26">
      <c r="A45" s="44" t="inlineStr">
        <is>
          <t>Anna's Archive</t>
        </is>
      </c>
      <c r="B45" s="23" t="n">
        <v>77</v>
      </c>
      <c r="C45" s="44" t="inlineStr">
        <is>
          <t>Prepaid</t>
        </is>
      </c>
      <c r="D45" s="32" t="n">
        <v>46822</v>
      </c>
      <c r="E45" s="32" t="n"/>
    </row>
    <row r="46" ht="16" customFormat="1" customHeight="1" s="26">
      <c r="A46" s="44" t="inlineStr">
        <is>
          <t>Student Loans: JGW -1/27/26</t>
        </is>
      </c>
      <c r="B46" s="23" t="n">
        <v>14331.21</v>
      </c>
      <c r="C46" s="44" t="inlineStr">
        <is>
          <t>Debt</t>
        </is>
      </c>
      <c r="D46" s="32" t="n">
        <v>47066</v>
      </c>
      <c r="E46" s="32" t="n"/>
    </row>
    <row r="47" ht="16" customFormat="1" customHeight="1" s="26">
      <c r="A47" s="44" t="inlineStr">
        <is>
          <t>AARP</t>
        </is>
      </c>
      <c r="B47" s="23" t="n">
        <v>55</v>
      </c>
      <c r="C47" s="44" t="inlineStr">
        <is>
          <t>Annually</t>
        </is>
      </c>
      <c r="D47" s="32" t="n">
        <v>47542</v>
      </c>
      <c r="E47" s="32" t="n"/>
    </row>
    <row r="48" ht="16" customFormat="1" customHeight="1" s="26">
      <c r="A48" s="31" t="inlineStr">
        <is>
          <t>AppleTV</t>
        </is>
      </c>
      <c r="B48" s="23" t="n">
        <v>5.99</v>
      </c>
      <c r="C48" s="44" t="inlineStr">
        <is>
          <t>N/A - Monthly</t>
        </is>
      </c>
      <c r="D48" s="32" t="n"/>
      <c r="E48" s="32" t="n">
        <v>46169</v>
      </c>
    </row>
    <row r="49" ht="16" customFormat="1" customHeight="1" s="26">
      <c r="A49" s="44" t="inlineStr">
        <is>
          <t>Grove Collaborative</t>
        </is>
      </c>
      <c r="B49" s="23" t="n">
        <v>19.99</v>
      </c>
      <c r="C49" s="44" t="inlineStr">
        <is>
          <t>N/A - Annually</t>
        </is>
      </c>
      <c r="D49" s="32" t="n"/>
      <c r="E49" s="32" t="n">
        <v>46101</v>
      </c>
    </row>
    <row r="50" ht="16" customFormat="1" customHeight="1" s="26">
      <c r="A50" s="44" t="inlineStr">
        <is>
          <t>Ford Escape</t>
        </is>
      </c>
      <c r="B50" s="23" t="n">
        <v>151</v>
      </c>
      <c r="C50" s="44" t="inlineStr">
        <is>
          <t>N/A - Annually</t>
        </is>
      </c>
      <c r="D50" s="32" t="n"/>
      <c r="E50" s="32" t="n">
        <v>46083</v>
      </c>
    </row>
    <row r="51" ht="16" customFormat="1" customHeight="1" s="26">
      <c r="A51" s="44" t="inlineStr">
        <is>
          <t>FitBod</t>
        </is>
      </c>
      <c r="B51" s="23" t="n">
        <v>79.98999999999999</v>
      </c>
      <c r="C51" s="44" t="inlineStr">
        <is>
          <t>N/A - Annually</t>
        </is>
      </c>
      <c r="D51" s="32" t="n"/>
      <c r="E51" s="32" t="n">
        <v>46080</v>
      </c>
    </row>
    <row r="52" ht="16" customFormat="1" customHeight="1" s="26">
      <c r="A52" s="44" t="inlineStr">
        <is>
          <t>Disney+</t>
        </is>
      </c>
      <c r="B52" s="23" t="n">
        <v>159</v>
      </c>
      <c r="C52" s="44" t="inlineStr">
        <is>
          <t>N/A - Annually</t>
        </is>
      </c>
      <c r="D52" s="32" t="n"/>
      <c r="E52" s="32" t="n">
        <v>46060</v>
      </c>
    </row>
    <row r="53" ht="16" customFormat="1" customHeight="1" s="26">
      <c r="A53" s="44" t="inlineStr">
        <is>
          <t>Minecraft Education</t>
        </is>
      </c>
      <c r="B53" s="23" t="n">
        <v>12</v>
      </c>
      <c r="C53" s="44" t="inlineStr">
        <is>
          <t>N/A - Annually</t>
        </is>
      </c>
      <c r="D53" s="32" t="n"/>
      <c r="E53" s="32" t="n">
        <v>46036</v>
      </c>
    </row>
    <row r="54" ht="16" customFormat="1" customHeight="1" s="26">
      <c r="A54" s="44" t="inlineStr">
        <is>
          <t>Speechify</t>
        </is>
      </c>
      <c r="B54" s="23" t="n">
        <v>79.98999999999999</v>
      </c>
      <c r="C54" s="44" t="inlineStr">
        <is>
          <t>N/A - Annually</t>
        </is>
      </c>
      <c r="D54" s="32" t="n"/>
      <c r="E54" s="32" t="n">
        <v>46033</v>
      </c>
    </row>
    <row r="55" ht="16" customFormat="1" customHeight="1" s="26">
      <c r="A55" s="44" t="inlineStr">
        <is>
          <t>Goodnotes 6</t>
        </is>
      </c>
      <c r="B55" s="23" t="n">
        <v>9.99</v>
      </c>
      <c r="C55" s="44" t="inlineStr">
        <is>
          <t>N/A - Annually</t>
        </is>
      </c>
      <c r="D55" s="32" t="n"/>
      <c r="E55" s="32" t="n">
        <v>45952</v>
      </c>
    </row>
    <row r="56" ht="16" customFormat="1" customHeight="1" s="26">
      <c r="A56" s="44" t="inlineStr">
        <is>
          <t>Setapp</t>
        </is>
      </c>
      <c r="B56" s="23" t="n">
        <v>161.88</v>
      </c>
      <c r="C56" s="44" t="inlineStr">
        <is>
          <t>N/A - Annually</t>
        </is>
      </c>
      <c r="D56" s="32" t="n"/>
      <c r="E56" s="32" t="n">
        <v>45930</v>
      </c>
    </row>
    <row r="57" ht="16" customFormat="1" customHeight="1" s="26">
      <c r="A57" s="44" t="inlineStr">
        <is>
          <t>ABCMouse</t>
        </is>
      </c>
      <c r="B57" s="23" t="n">
        <v>29.99</v>
      </c>
      <c r="C57" s="44" t="inlineStr">
        <is>
          <t>N/A - Annually</t>
        </is>
      </c>
      <c r="D57" s="32" t="n"/>
      <c r="E57" s="32" t="n">
        <v>45899</v>
      </c>
    </row>
    <row r="58" ht="16" customFormat="1" customHeight="1" s="26">
      <c r="A58" s="44" t="inlineStr">
        <is>
          <t>Notability Pro</t>
        </is>
      </c>
      <c r="B58" s="23" t="n">
        <v>14.99</v>
      </c>
      <c r="C58" s="44" t="inlineStr">
        <is>
          <t>N/A - Annually</t>
        </is>
      </c>
      <c r="D58" s="32" t="n"/>
      <c r="E58" s="32" t="n">
        <v>45899</v>
      </c>
    </row>
    <row r="59" ht="16" customFormat="1" customHeight="1" s="26">
      <c r="A59" s="44" t="inlineStr">
        <is>
          <t>Pro Tools</t>
        </is>
      </c>
      <c r="B59" s="23" t="n">
        <v>99.98999999999999</v>
      </c>
      <c r="C59" s="44" t="inlineStr">
        <is>
          <t>N/A - Annually</t>
        </is>
      </c>
      <c r="D59" s="32" t="n"/>
      <c r="E59" s="32" t="n">
        <v>45899</v>
      </c>
    </row>
    <row r="60" ht="16" customFormat="1" customHeight="1" s="26">
      <c r="A60" s="31" t="inlineStr">
        <is>
          <t>Otter.ai</t>
        </is>
      </c>
      <c r="B60" s="23" t="n">
        <v>79.98999999999999</v>
      </c>
      <c r="C60" s="44" t="inlineStr">
        <is>
          <t>N/A - Annually</t>
        </is>
      </c>
      <c r="D60" s="32" t="n"/>
      <c r="E60" s="32" t="n">
        <v>45894</v>
      </c>
    </row>
    <row r="61" ht="16" customFormat="1" customHeight="1" s="26">
      <c r="A61" s="44" t="inlineStr">
        <is>
          <t>Siteground Website</t>
        </is>
      </c>
      <c r="B61" s="23" t="n">
        <v>200</v>
      </c>
      <c r="C61" s="44" t="inlineStr">
        <is>
          <t>N/A - Annually</t>
        </is>
      </c>
      <c r="D61" s="32" t="n"/>
      <c r="E61" s="32" t="n">
        <v>45856</v>
      </c>
    </row>
    <row r="62" ht="16" customFormat="1" customHeight="1" s="26">
      <c r="A62" s="44" t="inlineStr">
        <is>
          <t>Liquidtext</t>
        </is>
      </c>
      <c r="B62" s="23" t="n">
        <v>94.98999999999999</v>
      </c>
      <c r="C62" s="44" t="inlineStr">
        <is>
          <t>N/A - Annually</t>
        </is>
      </c>
      <c r="D62" s="32" t="n"/>
      <c r="E62" s="32" t="n">
        <v>45736</v>
      </c>
    </row>
    <row r="63" ht="16" customFormat="1" customHeight="1" s="26">
      <c r="A63" s="44" t="inlineStr">
        <is>
          <t>Kiddopia</t>
        </is>
      </c>
      <c r="B63" s="23" t="n">
        <v>79.98999999999999</v>
      </c>
      <c r="C63" s="44" t="inlineStr">
        <is>
          <t>N/A - Annually</t>
        </is>
      </c>
      <c r="D63" s="32" t="n"/>
      <c r="E63" s="32" t="n">
        <v>45693</v>
      </c>
    </row>
    <row r="64" ht="16" customFormat="1" customHeight="1" s="26">
      <c r="A64" s="44" t="inlineStr">
        <is>
          <t>Natural Reader</t>
        </is>
      </c>
      <c r="B64" s="23" t="n">
        <v>110</v>
      </c>
      <c r="C64" s="44" t="inlineStr">
        <is>
          <t>N/A - Annually</t>
        </is>
      </c>
      <c r="D64" s="32" t="n"/>
      <c r="E64" s="32" t="n">
        <v>45670</v>
      </c>
    </row>
    <row r="65" ht="16" customFormat="1" customHeight="1" s="26">
      <c r="A65" s="44" t="inlineStr">
        <is>
          <t>Cronometer</t>
        </is>
      </c>
      <c r="B65" s="23" t="n">
        <v>55</v>
      </c>
      <c r="C65" s="44" t="inlineStr">
        <is>
          <t>N/A - Annually</t>
        </is>
      </c>
      <c r="D65" s="32" t="n"/>
      <c r="E65" s="32" t="n">
        <v>45670</v>
      </c>
    </row>
    <row r="66" ht="16" customFormat="1" customHeight="1" s="26">
      <c r="A66" s="44" t="inlineStr">
        <is>
          <t>BrickIt</t>
        </is>
      </c>
      <c r="B66" s="23" t="n">
        <v>39.99</v>
      </c>
      <c r="C66" s="44" t="inlineStr">
        <is>
          <t>N/A - Annually</t>
        </is>
      </c>
      <c r="D66" s="32" t="n"/>
      <c r="E66" s="32" t="n">
        <v>45664</v>
      </c>
    </row>
    <row r="67" ht="16" customFormat="1" customHeight="1" s="26">
      <c r="A67" s="44" t="inlineStr">
        <is>
          <t>Capti</t>
        </is>
      </c>
      <c r="B67" s="23" t="n">
        <v>29.99</v>
      </c>
      <c r="C67" s="44" t="inlineStr">
        <is>
          <t>N/A - Annually</t>
        </is>
      </c>
      <c r="D67" s="32" t="n"/>
      <c r="E67" s="32" t="n">
        <v>45664</v>
      </c>
    </row>
    <row r="68" ht="16" customFormat="1" customHeight="1" s="26">
      <c r="A68" s="44" t="inlineStr">
        <is>
          <t>Feedly</t>
        </is>
      </c>
      <c r="B68" s="23" t="n">
        <v>99</v>
      </c>
      <c r="C68" s="44" t="inlineStr">
        <is>
          <t>N/A - Annually</t>
        </is>
      </c>
      <c r="D68" s="32" t="n"/>
      <c r="E68" s="32" t="n">
        <v>45648</v>
      </c>
    </row>
    <row r="69" ht="16" customFormat="1" customHeight="1" s="26">
      <c r="A69" s="31" t="inlineStr">
        <is>
          <t>TopTeacher.com</t>
        </is>
      </c>
      <c r="B69" s="23" t="n">
        <v>92.69</v>
      </c>
      <c r="C69" s="44" t="inlineStr">
        <is>
          <t>N/A - Annually</t>
        </is>
      </c>
      <c r="D69" s="32" t="n"/>
      <c r="E69" s="32" t="n">
        <v>45620</v>
      </c>
    </row>
    <row r="70" ht="16" customFormat="1" customHeight="1" s="26">
      <c r="A70" s="44" t="inlineStr">
        <is>
          <t>PictureThis - Plant Identifier</t>
        </is>
      </c>
      <c r="B70" s="23" t="n">
        <v>39.99</v>
      </c>
      <c r="C70" s="44" t="inlineStr">
        <is>
          <t>N/A - Annually</t>
        </is>
      </c>
      <c r="D70" s="32" t="n"/>
      <c r="E70" s="32" t="n">
        <v>45417</v>
      </c>
    </row>
    <row r="71" ht="16" customFormat="1" customHeight="1" s="26">
      <c r="A71" s="44" t="inlineStr">
        <is>
          <t>Playstation Plus</t>
        </is>
      </c>
      <c r="B71" s="23" t="n">
        <v>59.99</v>
      </c>
      <c r="C71" s="44" t="inlineStr">
        <is>
          <t>N/A - Annually</t>
        </is>
      </c>
      <c r="D71" s="32" t="n"/>
      <c r="E71" s="32" t="n">
        <v>45400</v>
      </c>
    </row>
    <row r="72" ht="16" customFormat="1" customHeight="1" s="26">
      <c r="A72" s="44" t="inlineStr">
        <is>
          <t>Pigment</t>
        </is>
      </c>
      <c r="B72" s="23" t="n">
        <v>59.99</v>
      </c>
      <c r="C72" s="44" t="inlineStr">
        <is>
          <t>N/A - Annually</t>
        </is>
      </c>
      <c r="D72" s="32" t="n"/>
      <c r="E72" s="32" t="n">
        <v>45323</v>
      </c>
    </row>
    <row r="73" ht="16" customFormat="1" customHeight="1" s="26">
      <c r="A73" s="31" t="inlineStr">
        <is>
          <t>Netflix</t>
        </is>
      </c>
      <c r="B73" s="23" t="n">
        <v>17.99</v>
      </c>
      <c r="C73" s="44" t="inlineStr">
        <is>
          <t>N/A - Monthly</t>
        </is>
      </c>
      <c r="D73" s="32" t="n"/>
      <c r="E73" s="32" t="n">
        <v>46157</v>
      </c>
    </row>
    <row r="74" ht="16" customFormat="1" customHeight="1" s="26">
      <c r="A74" s="44" t="inlineStr">
        <is>
          <t>Xbox Game Pass</t>
        </is>
      </c>
      <c r="B74" s="23" t="n">
        <v>16.49</v>
      </c>
      <c r="C74" s="44" t="inlineStr">
        <is>
          <t>N/A - Monthly</t>
        </is>
      </c>
      <c r="D74" s="32" t="n"/>
      <c r="E74" s="32" t="n">
        <v>46105</v>
      </c>
    </row>
    <row r="75" ht="16" customFormat="1" customHeight="1" s="26">
      <c r="A75" s="44" t="inlineStr">
        <is>
          <t>Peacock</t>
        </is>
      </c>
      <c r="B75" s="23" t="n">
        <v>10.99</v>
      </c>
      <c r="C75" s="44" t="inlineStr">
        <is>
          <t>N/A - Monthly</t>
        </is>
      </c>
      <c r="D75" s="32" t="n"/>
      <c r="E75" s="32" t="n">
        <v>46099</v>
      </c>
    </row>
    <row r="76" ht="16" customFormat="1" customHeight="1" s="26">
      <c r="A76" s="44" t="inlineStr">
        <is>
          <t>http://Raindrop.io Pro</t>
        </is>
      </c>
      <c r="B76" s="23" t="n">
        <v>3</v>
      </c>
      <c r="C76" s="44" t="inlineStr">
        <is>
          <t>N/A - Monthly</t>
        </is>
      </c>
      <c r="D76" s="32" t="n"/>
      <c r="E76" s="32" t="n">
        <v>46076</v>
      </c>
    </row>
    <row r="77" ht="16" customFormat="1" customHeight="1" s="26">
      <c r="A77" s="44" t="inlineStr">
        <is>
          <t>Crunchyroll</t>
        </is>
      </c>
      <c r="B77" s="23" t="n">
        <v>7.99</v>
      </c>
      <c r="C77" s="44" t="inlineStr">
        <is>
          <t>N/A - Monthly</t>
        </is>
      </c>
      <c r="D77" s="32" t="n"/>
      <c r="E77" s="32" t="n">
        <v>45973</v>
      </c>
    </row>
    <row r="78" ht="16" customFormat="1" customHeight="1" s="26">
      <c r="A78" s="44" t="inlineStr">
        <is>
          <t>Parallels</t>
        </is>
      </c>
      <c r="B78" s="23" t="n">
        <v>79.98999999999999</v>
      </c>
      <c r="C78" s="44" t="inlineStr">
        <is>
          <t>N/A - Monthly</t>
        </is>
      </c>
      <c r="D78" s="32" t="n"/>
      <c r="E78" s="32" t="n">
        <v>45918</v>
      </c>
    </row>
    <row r="79" ht="16" customFormat="1" customHeight="1" s="26">
      <c r="A79" s="44" t="inlineStr">
        <is>
          <t>Apple Fitness</t>
        </is>
      </c>
      <c r="B79" s="23" t="n">
        <v>9.99</v>
      </c>
      <c r="C79" s="44" t="inlineStr">
        <is>
          <t>N/A - Monthly</t>
        </is>
      </c>
      <c r="D79" s="32" t="n"/>
      <c r="E79" s="32" t="n">
        <v>45836</v>
      </c>
    </row>
    <row r="80" ht="16" customFormat="1" customHeight="1" s="26">
      <c r="A80" s="44" t="inlineStr">
        <is>
          <t>Xfinity</t>
        </is>
      </c>
      <c r="B80" s="23" t="n">
        <v>350</v>
      </c>
      <c r="C80" s="44" t="inlineStr">
        <is>
          <t>N/A - Monthly</t>
        </is>
      </c>
      <c r="D80" s="32" t="n"/>
      <c r="E80" s="32" t="n">
        <v>45712</v>
      </c>
    </row>
    <row r="81" ht="16" customFormat="1" customHeight="1" s="26">
      <c r="A81" s="44" t="inlineStr">
        <is>
          <t>Bluey: Let’s Play!</t>
        </is>
      </c>
      <c r="B81" s="23" t="n">
        <v>6.99</v>
      </c>
      <c r="C81" s="44" t="inlineStr">
        <is>
          <t>N/A - Monthly</t>
        </is>
      </c>
      <c r="D81" s="32" t="n"/>
      <c r="E81" s="32" t="n">
        <v>45644</v>
      </c>
    </row>
    <row r="82" ht="16" customFormat="1" customHeight="1" s="26">
      <c r="A82" s="44" t="inlineStr">
        <is>
          <t>Mullvad</t>
        </is>
      </c>
      <c r="B82" s="23" t="n">
        <v>5.99</v>
      </c>
      <c r="C82" s="44" t="inlineStr">
        <is>
          <t>N/A - Monthly</t>
        </is>
      </c>
      <c r="D82" s="32" t="n"/>
      <c r="E82" s="32" t="n">
        <v>45601</v>
      </c>
    </row>
    <row r="83" ht="16" customFormat="1" customHeight="1" s="26">
      <c r="A83" s="44" t="inlineStr">
        <is>
          <t>OpenAI (ChatGPT)</t>
        </is>
      </c>
      <c r="B83" s="23" t="n">
        <v>19.99</v>
      </c>
      <c r="C83" s="44" t="inlineStr">
        <is>
          <t>N/A - Monthly</t>
        </is>
      </c>
      <c r="D83" s="32" t="n"/>
      <c r="E83" s="32" t="n">
        <v>45570</v>
      </c>
    </row>
    <row r="84" ht="16" customFormat="1" customHeight="1" s="26">
      <c r="A84" s="44" t="inlineStr">
        <is>
          <t>Apple Music</t>
        </is>
      </c>
      <c r="B84" s="23" t="n">
        <v>10.99</v>
      </c>
      <c r="C84" s="44" t="inlineStr">
        <is>
          <t>N/A - Monthly</t>
        </is>
      </c>
      <c r="D84" s="32" t="n"/>
      <c r="E84" s="32" t="n">
        <v>45538</v>
      </c>
    </row>
    <row r="85" ht="16" customFormat="1" customHeight="1" s="26">
      <c r="A85" s="44" t="inlineStr">
        <is>
          <t>Obsidian</t>
        </is>
      </c>
      <c r="B85" s="23" t="n"/>
      <c r="C85" s="44" t="inlineStr">
        <is>
          <t>N/A - Monthly</t>
        </is>
      </c>
      <c r="D85" s="32" t="n"/>
      <c r="E85" s="32" t="n"/>
    </row>
    <row r="86" ht="16" customFormat="1" customHeight="1" s="26">
      <c r="A86" s="44" t="inlineStr">
        <is>
          <t>HBO Max</t>
        </is>
      </c>
      <c r="B86" s="23" t="n">
        <v>9.99</v>
      </c>
      <c r="C86" s="44" t="inlineStr">
        <is>
          <t>N/A - Monthly</t>
        </is>
      </c>
      <c r="D86" s="32" t="n"/>
      <c r="E86" s="32" t="n"/>
    </row>
    <row r="87" ht="16" customFormat="1" customHeight="1" s="26">
      <c r="A87" s="31" t="inlineStr">
        <is>
          <t>GPSD</t>
        </is>
      </c>
      <c r="B87" s="23" t="n">
        <v>80</v>
      </c>
      <c r="C87" s="44" t="inlineStr">
        <is>
          <t>Quarterly</t>
        </is>
      </c>
      <c r="D87" s="32" t="n"/>
      <c r="E87" s="32" t="n"/>
    </row>
    <row r="88" ht="15.75" customFormat="1" customHeight="1" s="26"/>
    <row r="89" ht="15.75" customFormat="1" customHeight="1" s="26"/>
    <row r="90" ht="15.75" customFormat="1" customHeight="1" s="26"/>
    <row r="91" ht="15.75" customFormat="1" customHeight="1" s="26"/>
    <row r="92" ht="15.75" customFormat="1" customHeight="1" s="26"/>
    <row r="93" ht="15.75" customFormat="1" customHeight="1" s="26"/>
    <row r="94" ht="15.75" customFormat="1" customHeight="1" s="26"/>
    <row r="95" ht="15.75" customFormat="1" customHeight="1" s="26"/>
    <row r="96" ht="15.75" customFormat="1" customHeight="1" s="26"/>
    <row r="97" ht="15.75" customFormat="1" customHeight="1" s="26"/>
    <row r="98" ht="15.75" customFormat="1" customHeight="1" s="26"/>
    <row r="99" ht="15.75" customFormat="1" customHeight="1" s="26"/>
    <row r="100" ht="15.75" customFormat="1" customHeight="1" s="26"/>
    <row r="101" ht="15.75" customFormat="1" customHeight="1" s="26"/>
    <row r="102" ht="15.75" customFormat="1" customHeight="1" s="26"/>
    <row r="103" ht="15.75" customFormat="1" customHeight="1" s="26"/>
    <row r="104" ht="15.75" customFormat="1" customHeight="1" s="26"/>
    <row r="105" ht="15.75" customFormat="1" customHeight="1" s="26"/>
    <row r="106" ht="15.75" customFormat="1" customHeight="1" s="26"/>
    <row r="107" ht="15.75" customFormat="1" customHeight="1" s="26"/>
    <row r="108" ht="15.75" customFormat="1" customHeight="1" s="26"/>
    <row r="109" ht="15.75" customFormat="1" customHeight="1" s="26"/>
    <row r="110" ht="15.75" customFormat="1" customHeight="1" s="26"/>
    <row r="111" ht="15.75" customFormat="1" customHeight="1" s="26"/>
    <row r="112" ht="15.75" customFormat="1" customHeight="1" s="26"/>
    <row r="113" ht="15.75" customFormat="1" customHeight="1" s="26"/>
    <row r="114" ht="15.75" customFormat="1" customHeight="1" s="26"/>
    <row r="115" ht="15.75" customFormat="1" customHeight="1" s="26"/>
    <row r="116" ht="15.75" customFormat="1" customHeight="1" s="26"/>
    <row r="117" ht="15.75" customFormat="1" customHeight="1" s="26"/>
    <row r="118" ht="15.75" customFormat="1" customHeight="1" s="26"/>
    <row r="119" ht="15.75" customFormat="1" customHeight="1" s="26"/>
    <row r="120" ht="15.75" customFormat="1" customHeight="1" s="26"/>
    <row r="121" ht="15.75" customFormat="1" customHeight="1" s="26"/>
    <row r="122" ht="15.75" customFormat="1" customHeight="1" s="26"/>
    <row r="123" ht="15.75" customFormat="1" customHeight="1" s="26"/>
    <row r="124" ht="15.75" customFormat="1" customHeight="1" s="26"/>
    <row r="125" ht="15.75" customFormat="1" customHeight="1" s="26"/>
    <row r="126" ht="15.75" customFormat="1" customHeight="1" s="26"/>
    <row r="127" ht="15.75" customFormat="1" customHeight="1" s="26"/>
    <row r="128" ht="15.75" customFormat="1" customHeight="1" s="26"/>
    <row r="129" ht="15.75" customFormat="1" customHeight="1" s="26"/>
    <row r="130" ht="15.75" customFormat="1" customHeight="1" s="26"/>
    <row r="131" ht="15.75" customFormat="1" customHeight="1" s="26"/>
    <row r="132" ht="15.75" customFormat="1" customHeight="1" s="26"/>
    <row r="133" ht="15.75" customFormat="1" customHeight="1" s="26"/>
    <row r="134" ht="15.75" customFormat="1" customHeight="1" s="26"/>
    <row r="135" ht="15.75" customFormat="1" customHeight="1" s="26"/>
    <row r="136" ht="15.75" customFormat="1" customHeight="1" s="26"/>
    <row r="137" ht="15.75" customFormat="1" customHeight="1" s="26"/>
    <row r="138" ht="15.75" customFormat="1" customHeight="1" s="26"/>
    <row r="139" ht="15.75" customFormat="1" customHeight="1" s="26"/>
    <row r="140" ht="15.75" customFormat="1" customHeight="1" s="26"/>
    <row r="141" ht="15.75" customFormat="1" customHeight="1" s="26"/>
    <row r="142" ht="15.75" customFormat="1" customHeight="1" s="26"/>
    <row r="143" ht="15.75" customFormat="1" customHeight="1" s="26"/>
    <row r="144" ht="15.75" customFormat="1" customHeight="1" s="26"/>
    <row r="145" ht="15.75" customFormat="1" customHeight="1" s="26"/>
    <row r="146" ht="15.75" customFormat="1" customHeight="1" s="26"/>
    <row r="147" ht="15.75" customFormat="1" customHeight="1" s="26"/>
    <row r="148" ht="15.75" customFormat="1" customHeight="1" s="26"/>
    <row r="149" ht="15.75" customFormat="1" customHeight="1" s="26"/>
    <row r="150" ht="15.75" customFormat="1" customHeight="1" s="26"/>
    <row r="151" ht="15.75" customFormat="1" customHeight="1" s="26"/>
    <row r="152" ht="15.75" customFormat="1" customHeight="1" s="26"/>
    <row r="153" ht="15.75" customFormat="1" customHeight="1" s="26"/>
    <row r="154" ht="15.75" customFormat="1" customHeight="1" s="26"/>
    <row r="155" ht="15.75" customFormat="1" customHeight="1" s="26"/>
    <row r="156" ht="15.75" customFormat="1" customHeight="1" s="26"/>
    <row r="157" ht="15.75" customFormat="1" customHeight="1" s="26"/>
    <row r="158" ht="15.75" customFormat="1" customHeight="1" s="26"/>
    <row r="159" ht="15.75" customFormat="1" customHeight="1" s="26"/>
    <row r="160" ht="15.75" customFormat="1" customHeight="1" s="26"/>
    <row r="161" ht="15.75" customFormat="1" customHeight="1" s="26"/>
    <row r="162" ht="15.75" customFormat="1" customHeight="1" s="26"/>
    <row r="163" ht="15.75" customFormat="1" customHeight="1" s="26"/>
    <row r="164" ht="15.75" customFormat="1" customHeight="1" s="26"/>
    <row r="165" ht="15.75" customFormat="1" customHeight="1" s="26"/>
    <row r="166" ht="15.75" customFormat="1" customHeight="1" s="26"/>
    <row r="167" ht="15.75" customFormat="1" customHeight="1" s="26"/>
    <row r="168" ht="15.75" customFormat="1" customHeight="1" s="26"/>
    <row r="169" ht="15.75" customFormat="1" customHeight="1" s="26"/>
    <row r="170" ht="15.75" customFormat="1" customHeight="1" s="26"/>
    <row r="171" ht="15.75" customFormat="1" customHeight="1" s="26"/>
    <row r="172" ht="15.75" customFormat="1" customHeight="1" s="26"/>
    <row r="173" ht="15.75" customFormat="1" customHeight="1" s="26"/>
    <row r="174" ht="15.75" customFormat="1" customHeight="1" s="26"/>
    <row r="175" ht="15.75" customFormat="1" customHeight="1" s="26"/>
    <row r="176" ht="15.75" customFormat="1" customHeight="1" s="26"/>
    <row r="177" ht="15.75" customFormat="1" customHeight="1" s="26"/>
    <row r="178" ht="15.75" customFormat="1" customHeight="1" s="26"/>
    <row r="179" ht="15.75" customFormat="1" customHeight="1" s="26"/>
    <row r="180" ht="15.75" customFormat="1" customHeight="1" s="26"/>
    <row r="181" ht="15.75" customFormat="1" customHeight="1" s="26"/>
    <row r="182" ht="15.75" customFormat="1" customHeight="1" s="26"/>
    <row r="183" ht="15.75" customFormat="1" customHeight="1" s="26"/>
    <row r="184" ht="15.75" customFormat="1" customHeight="1" s="26"/>
    <row r="185" ht="15.75" customFormat="1" customHeight="1" s="26"/>
    <row r="186" ht="15.75" customFormat="1" customHeight="1" s="26"/>
    <row r="187" ht="15.75" customFormat="1" customHeight="1" s="26"/>
    <row r="188" ht="15.75" customFormat="1" customHeight="1" s="26"/>
    <row r="189" ht="15.75" customFormat="1" customHeight="1" s="26"/>
    <row r="190" ht="15.75" customFormat="1" customHeight="1" s="26"/>
    <row r="191" ht="15.75" customFormat="1" customHeight="1" s="26"/>
    <row r="192" ht="15.75" customFormat="1" customHeight="1" s="26"/>
    <row r="193" ht="15.75" customFormat="1" customHeight="1" s="26"/>
    <row r="194" ht="15.75" customFormat="1" customHeight="1" s="26"/>
    <row r="195" ht="15.75" customFormat="1" customHeight="1" s="26"/>
    <row r="196" ht="15.75" customFormat="1" customHeight="1" s="26"/>
    <row r="197" ht="15.75" customFormat="1" customHeight="1" s="26"/>
    <row r="198" ht="15.75" customFormat="1" customHeight="1" s="26"/>
    <row r="199" ht="15.75" customFormat="1" customHeight="1" s="26"/>
    <row r="200" ht="15.75" customFormat="1" customHeight="1" s="26"/>
    <row r="201" ht="15.75" customFormat="1" customHeight="1" s="26"/>
    <row r="202" ht="15.75" customFormat="1" customHeight="1" s="26"/>
    <row r="203" ht="15.75" customFormat="1" customHeight="1" s="26"/>
    <row r="204" ht="15.75" customFormat="1" customHeight="1" s="26"/>
    <row r="205" ht="15.75" customFormat="1" customHeight="1" s="26"/>
    <row r="206" ht="15.75" customFormat="1" customHeight="1" s="26"/>
    <row r="207" ht="15.75" customFormat="1" customHeight="1" s="26"/>
    <row r="208" ht="15.75" customFormat="1" customHeight="1" s="26"/>
    <row r="209" ht="15.75" customFormat="1" customHeight="1" s="26"/>
    <row r="210" ht="15.75" customFormat="1" customHeight="1" s="26"/>
    <row r="211" ht="15.75" customFormat="1" customHeight="1" s="26"/>
    <row r="212" ht="15.75" customFormat="1" customHeight="1" s="26"/>
    <row r="213" ht="15.75" customFormat="1" customHeight="1" s="26"/>
    <row r="214" ht="15.75" customFormat="1" customHeight="1" s="26"/>
    <row r="215" ht="15.75" customFormat="1" customHeight="1" s="26"/>
    <row r="216" ht="15.75" customFormat="1" customHeight="1" s="26"/>
    <row r="217" ht="15.75" customFormat="1" customHeight="1" s="26"/>
    <row r="218" ht="15.75" customFormat="1" customHeight="1" s="26"/>
    <row r="219" ht="15.75" customFormat="1" customHeight="1" s="26"/>
    <row r="220" ht="15.75" customFormat="1" customHeight="1" s="26"/>
    <row r="221" ht="15.75" customFormat="1" customHeight="1" s="26"/>
    <row r="222" ht="15.75" customFormat="1" customHeight="1" s="26"/>
    <row r="223" ht="15.75" customFormat="1" customHeight="1" s="26"/>
    <row r="224" ht="15.75" customFormat="1" customHeight="1" s="26"/>
    <row r="225" ht="15.75" customFormat="1" customHeight="1" s="26"/>
    <row r="226" ht="15.75" customFormat="1" customHeight="1" s="26"/>
    <row r="227" ht="15.75" customFormat="1" customHeight="1" s="26"/>
    <row r="228" ht="15.75" customFormat="1" customHeight="1" s="26"/>
    <row r="229" ht="15.75" customFormat="1" customHeight="1" s="26"/>
    <row r="230" ht="15.75" customFormat="1" customHeight="1" s="26"/>
    <row r="231" ht="15.75" customFormat="1" customHeight="1" s="26"/>
    <row r="232" ht="15.75" customFormat="1" customHeight="1" s="26"/>
    <row r="233" ht="15.75" customFormat="1" customHeight="1" s="26"/>
    <row r="234" ht="15.75" customFormat="1" customHeight="1" s="26"/>
    <row r="235" ht="15.75" customFormat="1" customHeight="1" s="26"/>
    <row r="236" ht="15.75" customFormat="1" customHeight="1" s="26"/>
    <row r="237" ht="15.75" customFormat="1" customHeight="1" s="26"/>
    <row r="238" ht="15.75" customFormat="1" customHeight="1" s="26"/>
    <row r="239" ht="15.75" customFormat="1" customHeight="1" s="26"/>
    <row r="240" ht="15.75" customFormat="1" customHeight="1" s="26"/>
    <row r="241" ht="15.75" customFormat="1" customHeight="1" s="26"/>
    <row r="242" ht="15.75" customFormat="1" customHeight="1" s="26"/>
    <row r="243" ht="15.75" customFormat="1" customHeight="1" s="26"/>
    <row r="244" ht="15.75" customFormat="1" customHeight="1" s="26"/>
    <row r="245" ht="15.75" customFormat="1" customHeight="1" s="26"/>
    <row r="246" ht="15.75" customFormat="1" customHeight="1" s="26"/>
    <row r="247" ht="15.75" customFormat="1" customHeight="1" s="26"/>
    <row r="248" ht="15.75" customFormat="1" customHeight="1" s="26"/>
    <row r="249" ht="15.75" customFormat="1" customHeight="1" s="26"/>
    <row r="250" ht="15.75" customFormat="1" customHeight="1" s="26"/>
    <row r="251" ht="15.75" customFormat="1" customHeight="1" s="26"/>
    <row r="252" ht="15.75" customFormat="1" customHeight="1" s="26"/>
    <row r="253" ht="15.75" customFormat="1" customHeight="1" s="26"/>
    <row r="254" ht="15.75" customFormat="1" customHeight="1" s="26"/>
    <row r="255" ht="15.75" customFormat="1" customHeight="1" s="26"/>
    <row r="256" ht="15.75" customFormat="1" customHeight="1" s="26"/>
    <row r="257" ht="15.75" customFormat="1" customHeight="1" s="26"/>
    <row r="258" ht="15.75" customFormat="1" customHeight="1" s="26"/>
    <row r="259" ht="15.75" customFormat="1" customHeight="1" s="26"/>
    <row r="260" ht="15.75" customFormat="1" customHeight="1" s="26"/>
    <row r="261" ht="15.75" customFormat="1" customHeight="1" s="26"/>
    <row r="262" ht="15.75" customFormat="1" customHeight="1" s="26"/>
    <row r="263" ht="15.75" customFormat="1" customHeight="1" s="26"/>
    <row r="264" ht="15.75" customFormat="1" customHeight="1" s="26"/>
    <row r="265" ht="15.75" customFormat="1" customHeight="1" s="26"/>
    <row r="266" ht="15.75" customFormat="1" customHeight="1" s="26"/>
    <row r="267" ht="15.75" customFormat="1" customHeight="1" s="26"/>
    <row r="268" ht="15.75" customFormat="1" customHeight="1" s="26"/>
    <row r="269" ht="15.75" customFormat="1" customHeight="1" s="26"/>
    <row r="270" ht="15.75" customFormat="1" customHeight="1" s="26"/>
    <row r="271" ht="15.75" customFormat="1" customHeight="1" s="26"/>
    <row r="272" ht="15.75" customFormat="1" customHeight="1" s="26"/>
    <row r="273" ht="15.75" customFormat="1" customHeight="1" s="26"/>
    <row r="274" ht="15.75" customFormat="1" customHeight="1" s="26"/>
    <row r="275" ht="15.75" customFormat="1" customHeight="1" s="26"/>
    <row r="276" ht="15.75" customFormat="1" customHeight="1" s="26"/>
    <row r="277" ht="15.75" customFormat="1" customHeight="1" s="26"/>
    <row r="278" ht="15.75" customFormat="1" customHeight="1" s="26"/>
    <row r="279" ht="15.75" customFormat="1" customHeight="1" s="26"/>
    <row r="280" ht="15.75" customFormat="1" customHeight="1" s="26"/>
    <row r="281" ht="15.75" customFormat="1" customHeight="1" s="26"/>
    <row r="282" ht="15.75" customFormat="1" customHeight="1" s="26"/>
    <row r="283" ht="15.75" customFormat="1" customHeight="1" s="26"/>
    <row r="284" ht="15.75" customFormat="1" customHeight="1" s="26"/>
    <row r="285" ht="15.75" customFormat="1" customHeight="1" s="26"/>
    <row r="286" ht="15.75" customFormat="1" customHeight="1" s="26"/>
    <row r="287" ht="15.75" customFormat="1" customHeight="1" s="26"/>
    <row r="288" ht="15.75" customFormat="1" customHeight="1" s="26"/>
    <row r="289" ht="15.75" customFormat="1" customHeight="1" s="26"/>
    <row r="290" ht="15.75" customFormat="1" customHeight="1" s="26"/>
    <row r="291" ht="15.75" customFormat="1" customHeight="1" s="26"/>
    <row r="292" ht="15.75" customFormat="1" customHeight="1" s="26"/>
    <row r="293" ht="15.75" customFormat="1" customHeight="1" s="26"/>
    <row r="294" ht="15.75" customFormat="1" customHeight="1" s="26"/>
    <row r="295" ht="15.75" customFormat="1" customHeight="1" s="26"/>
    <row r="296" ht="15.75" customFormat="1" customHeight="1" s="26"/>
    <row r="297" ht="15.75" customFormat="1" customHeight="1" s="26"/>
    <row r="298" ht="15.75" customFormat="1" customHeight="1" s="26"/>
    <row r="299" ht="15.75" customFormat="1" customHeight="1" s="26"/>
    <row r="300" ht="15.75" customFormat="1" customHeight="1" s="26"/>
    <row r="301" ht="15.75" customFormat="1" customHeight="1" s="26"/>
    <row r="302" ht="15.75" customFormat="1" customHeight="1" s="26"/>
    <row r="303" ht="15.75" customFormat="1" customHeight="1" s="26"/>
    <row r="304" ht="15.75" customFormat="1" customHeight="1" s="26"/>
    <row r="305" ht="15.75" customFormat="1" customHeight="1" s="26"/>
    <row r="306" ht="15.75" customFormat="1" customHeight="1" s="26"/>
    <row r="307" ht="15.75" customFormat="1" customHeight="1" s="26"/>
    <row r="308" ht="15.75" customFormat="1" customHeight="1" s="26"/>
    <row r="309" ht="15.75" customFormat="1" customHeight="1" s="26"/>
    <row r="310" ht="15.75" customFormat="1" customHeight="1" s="26"/>
    <row r="311" ht="15.75" customFormat="1" customHeight="1" s="26"/>
    <row r="312" ht="15.75" customFormat="1" customHeight="1" s="26"/>
    <row r="313" ht="15.75" customFormat="1" customHeight="1" s="26"/>
    <row r="314" ht="15.75" customFormat="1" customHeight="1" s="26"/>
    <row r="315" ht="15.75" customFormat="1" customHeight="1" s="26"/>
    <row r="316" ht="15.75" customFormat="1" customHeight="1" s="26"/>
    <row r="317" ht="15.75" customFormat="1" customHeight="1" s="26"/>
    <row r="318" ht="15.75" customFormat="1" customHeight="1" s="26"/>
    <row r="319" ht="15.75" customFormat="1" customHeight="1" s="26"/>
    <row r="320" ht="15.75" customFormat="1" customHeight="1" s="26"/>
    <row r="321" ht="15.75" customFormat="1" customHeight="1" s="26"/>
    <row r="322" ht="15.75" customFormat="1" customHeight="1" s="26"/>
    <row r="323" ht="15.75" customFormat="1" customHeight="1" s="26"/>
    <row r="324" ht="15.75" customFormat="1" customHeight="1" s="26"/>
    <row r="325" ht="15.75" customFormat="1" customHeight="1" s="26"/>
    <row r="326" ht="15.75" customFormat="1" customHeight="1" s="26"/>
    <row r="327" ht="15.75" customFormat="1" customHeight="1" s="26"/>
    <row r="328" ht="15.75" customFormat="1" customHeight="1" s="26"/>
    <row r="329" ht="15.75" customFormat="1" customHeight="1" s="26"/>
    <row r="330" ht="15.75" customFormat="1" customHeight="1" s="26"/>
    <row r="331" ht="15.75" customFormat="1" customHeight="1" s="26"/>
    <row r="332" ht="15.75" customFormat="1" customHeight="1" s="26"/>
    <row r="333" ht="15.75" customFormat="1" customHeight="1" s="26"/>
    <row r="334" ht="15.75" customFormat="1" customHeight="1" s="26"/>
    <row r="335" ht="15.75" customFormat="1" customHeight="1" s="26"/>
    <row r="336" ht="15.75" customFormat="1" customHeight="1" s="26"/>
    <row r="337" ht="15.75" customFormat="1" customHeight="1" s="26"/>
    <row r="338" ht="15.75" customFormat="1" customHeight="1" s="26"/>
    <row r="339" ht="15.75" customFormat="1" customHeight="1" s="26"/>
    <row r="340" ht="15.75" customFormat="1" customHeight="1" s="26"/>
    <row r="341" ht="15.75" customFormat="1" customHeight="1" s="26"/>
    <row r="342" ht="15.75" customFormat="1" customHeight="1" s="26"/>
    <row r="343" ht="15.75" customFormat="1" customHeight="1" s="26"/>
    <row r="344" ht="15.75" customFormat="1" customHeight="1" s="26"/>
    <row r="345" ht="15.75" customFormat="1" customHeight="1" s="26"/>
    <row r="346" ht="15.75" customFormat="1" customHeight="1" s="26"/>
    <row r="347" ht="15.75" customFormat="1" customHeight="1" s="26"/>
    <row r="348" ht="15.75" customFormat="1" customHeight="1" s="26"/>
    <row r="349" ht="15.75" customFormat="1" customHeight="1" s="26"/>
    <row r="350" ht="15.75" customFormat="1" customHeight="1" s="26"/>
    <row r="351" ht="15.75" customFormat="1" customHeight="1" s="26"/>
    <row r="352" ht="15.75" customFormat="1" customHeight="1" s="26"/>
    <row r="353" ht="15.75" customFormat="1" customHeight="1" s="26"/>
    <row r="354" ht="15.75" customFormat="1" customHeight="1" s="26"/>
    <row r="355" ht="15.75" customFormat="1" customHeight="1" s="26"/>
    <row r="356" ht="15.75" customFormat="1" customHeight="1" s="26"/>
    <row r="357" ht="15.75" customFormat="1" customHeight="1" s="26"/>
    <row r="358" ht="15.75" customFormat="1" customHeight="1" s="26"/>
    <row r="359" ht="15.75" customFormat="1" customHeight="1" s="26"/>
    <row r="360" ht="15.75" customFormat="1" customHeight="1" s="26"/>
    <row r="361" ht="15.75" customFormat="1" customHeight="1" s="26"/>
    <row r="362" ht="15.75" customFormat="1" customHeight="1" s="26"/>
    <row r="363" ht="15.75" customFormat="1" customHeight="1" s="26"/>
    <row r="364" ht="15.75" customFormat="1" customHeight="1" s="26"/>
    <row r="365" ht="15.75" customFormat="1" customHeight="1" s="26"/>
    <row r="366" ht="15.75" customFormat="1" customHeight="1" s="26"/>
    <row r="367" ht="15.75" customFormat="1" customHeight="1" s="26"/>
    <row r="368" ht="15.75" customFormat="1" customHeight="1" s="26"/>
    <row r="369" ht="15.75" customFormat="1" customHeight="1" s="26"/>
    <row r="370" ht="15.75" customFormat="1" customHeight="1" s="26"/>
    <row r="371" ht="15.75" customFormat="1" customHeight="1" s="26"/>
    <row r="372" ht="15.75" customFormat="1" customHeight="1" s="26"/>
    <row r="373" ht="15.75" customFormat="1" customHeight="1" s="26"/>
    <row r="374" ht="15.75" customFormat="1" customHeight="1" s="26"/>
    <row r="375" ht="15.75" customFormat="1" customHeight="1" s="26"/>
    <row r="376" ht="15.75" customFormat="1" customHeight="1" s="26"/>
    <row r="377" ht="15.75" customFormat="1" customHeight="1" s="26"/>
    <row r="378" ht="15.75" customFormat="1" customHeight="1" s="26"/>
    <row r="379" ht="15.75" customFormat="1" customHeight="1" s="26"/>
    <row r="380" ht="15.75" customFormat="1" customHeight="1" s="26"/>
    <row r="381" ht="15.75" customFormat="1" customHeight="1" s="26"/>
    <row r="382" ht="15.75" customFormat="1" customHeight="1" s="26"/>
    <row r="383" ht="15.75" customFormat="1" customHeight="1" s="26"/>
    <row r="384" ht="15.75" customFormat="1" customHeight="1" s="26"/>
    <row r="385" ht="15.75" customFormat="1" customHeight="1" s="26"/>
    <row r="386" ht="15.75" customFormat="1" customHeight="1" s="26"/>
    <row r="387" ht="15.75" customFormat="1" customHeight="1" s="26"/>
    <row r="388" ht="15.75" customFormat="1" customHeight="1" s="26"/>
    <row r="389" ht="15.75" customFormat="1" customHeight="1" s="26"/>
    <row r="390" ht="15.75" customFormat="1" customHeight="1" s="26"/>
    <row r="391" ht="15.75" customFormat="1" customHeight="1" s="26"/>
    <row r="392" ht="15.75" customFormat="1" customHeight="1" s="26"/>
    <row r="393" ht="15.75" customFormat="1" customHeight="1" s="26"/>
    <row r="394" ht="15.75" customFormat="1" customHeight="1" s="26"/>
    <row r="395" ht="15.75" customFormat="1" customHeight="1" s="26"/>
    <row r="396" ht="15.75" customFormat="1" customHeight="1" s="26"/>
    <row r="397" ht="15.75" customFormat="1" customHeight="1" s="26"/>
    <row r="398" ht="15.75" customFormat="1" customHeight="1" s="26"/>
    <row r="399" ht="15.75" customFormat="1" customHeight="1" s="26"/>
    <row r="400" ht="15.75" customFormat="1" customHeight="1" s="26"/>
    <row r="401" ht="15.75" customFormat="1" customHeight="1" s="26"/>
    <row r="402" ht="15.75" customFormat="1" customHeight="1" s="26"/>
    <row r="403" ht="15.75" customFormat="1" customHeight="1" s="26"/>
    <row r="404" ht="15.75" customFormat="1" customHeight="1" s="26"/>
    <row r="405" ht="15.75" customFormat="1" customHeight="1" s="26"/>
    <row r="406" ht="15.75" customFormat="1" customHeight="1" s="26"/>
    <row r="407" ht="15.75" customFormat="1" customHeight="1" s="26"/>
    <row r="408" ht="15.75" customFormat="1" customHeight="1" s="26"/>
    <row r="409" ht="15.75" customFormat="1" customHeight="1" s="26"/>
    <row r="410" ht="15.75" customFormat="1" customHeight="1" s="26"/>
    <row r="411" ht="15.75" customFormat="1" customHeight="1" s="26"/>
    <row r="412" ht="15.75" customFormat="1" customHeight="1" s="26"/>
    <row r="413" ht="15.75" customFormat="1" customHeight="1" s="26"/>
    <row r="414" ht="15.75" customFormat="1" customHeight="1" s="26"/>
    <row r="415" ht="15.75" customFormat="1" customHeight="1" s="26"/>
    <row r="416" ht="15.75" customFormat="1" customHeight="1" s="26"/>
    <row r="417" ht="15.75" customFormat="1" customHeight="1" s="26"/>
    <row r="418" ht="15.75" customFormat="1" customHeight="1" s="26"/>
    <row r="419" ht="15.75" customFormat="1" customHeight="1" s="26"/>
    <row r="420" ht="15.75" customFormat="1" customHeight="1" s="26"/>
    <row r="421" ht="15.75" customFormat="1" customHeight="1" s="26"/>
    <row r="422" ht="15.75" customFormat="1" customHeight="1" s="26"/>
    <row r="423" ht="15.75" customFormat="1" customHeight="1" s="26"/>
    <row r="424" ht="15.75" customFormat="1" customHeight="1" s="26"/>
    <row r="425" ht="15.75" customFormat="1" customHeight="1" s="26"/>
    <row r="426" ht="15.75" customFormat="1" customHeight="1" s="26"/>
    <row r="427" ht="15.75" customFormat="1" customHeight="1" s="26"/>
    <row r="428" ht="15.75" customFormat="1" customHeight="1" s="26"/>
    <row r="429" ht="15.75" customFormat="1" customHeight="1" s="26"/>
    <row r="430" ht="15.75" customFormat="1" customHeight="1" s="26"/>
    <row r="431" ht="15.75" customFormat="1" customHeight="1" s="26"/>
    <row r="432" ht="15.75" customFormat="1" customHeight="1" s="26"/>
    <row r="433" ht="15.75" customFormat="1" customHeight="1" s="26"/>
    <row r="434" ht="15.75" customFormat="1" customHeight="1" s="26"/>
    <row r="435" ht="15.75" customFormat="1" customHeight="1" s="26"/>
    <row r="436" ht="15.75" customFormat="1" customHeight="1" s="26"/>
    <row r="437" ht="15.75" customFormat="1" customHeight="1" s="26"/>
    <row r="438" ht="15.75" customFormat="1" customHeight="1" s="26"/>
    <row r="439" ht="15.75" customFormat="1" customHeight="1" s="26"/>
    <row r="440" ht="15.75" customFormat="1" customHeight="1" s="26"/>
    <row r="441" ht="15.75" customFormat="1" customHeight="1" s="26"/>
    <row r="442" ht="15.75" customFormat="1" customHeight="1" s="26"/>
    <row r="443" ht="15.75" customFormat="1" customHeight="1" s="26"/>
    <row r="444" ht="15.75" customFormat="1" customHeight="1" s="26"/>
    <row r="445" ht="15.75" customFormat="1" customHeight="1" s="26"/>
    <row r="446" ht="15.75" customFormat="1" customHeight="1" s="26"/>
    <row r="447" ht="15.75" customFormat="1" customHeight="1" s="26"/>
    <row r="448" ht="15.75" customFormat="1" customHeight="1" s="26"/>
    <row r="449" ht="15.75" customFormat="1" customHeight="1" s="26"/>
    <row r="450" ht="15.75" customFormat="1" customHeight="1" s="26"/>
    <row r="451" ht="15.75" customFormat="1" customHeight="1" s="26"/>
    <row r="452" ht="15.75" customFormat="1" customHeight="1" s="26"/>
    <row r="453" ht="15.75" customFormat="1" customHeight="1" s="26"/>
    <row r="454" ht="15.75" customFormat="1" customHeight="1" s="26"/>
    <row r="455" ht="15.75" customFormat="1" customHeight="1" s="26"/>
    <row r="456" ht="15.75" customFormat="1" customHeight="1" s="26"/>
    <row r="457" ht="15.75" customFormat="1" customHeight="1" s="26"/>
    <row r="458" ht="15.75" customFormat="1" customHeight="1" s="26"/>
    <row r="459" ht="15.75" customFormat="1" customHeight="1" s="26"/>
    <row r="460" ht="15.75" customFormat="1" customHeight="1" s="26"/>
    <row r="461" ht="15.75" customFormat="1" customHeight="1" s="26"/>
    <row r="462" ht="15.75" customFormat="1" customHeight="1" s="26"/>
    <row r="463" ht="15.75" customFormat="1" customHeight="1" s="26"/>
    <row r="464" ht="15.75" customFormat="1" customHeight="1" s="26"/>
    <row r="465" ht="15.75" customFormat="1" customHeight="1" s="26"/>
    <row r="466" ht="15.75" customFormat="1" customHeight="1" s="26"/>
    <row r="467" ht="15.75" customFormat="1" customHeight="1" s="26"/>
    <row r="468" ht="15.75" customFormat="1" customHeight="1" s="26"/>
    <row r="469" ht="15.75" customFormat="1" customHeight="1" s="26"/>
    <row r="470" ht="15.75" customFormat="1" customHeight="1" s="26"/>
    <row r="471" ht="15.75" customFormat="1" customHeight="1" s="26"/>
    <row r="472" ht="15.75" customFormat="1" customHeight="1" s="26"/>
    <row r="473" ht="15.75" customFormat="1" customHeight="1" s="26"/>
    <row r="474" ht="15.75" customFormat="1" customHeight="1" s="26"/>
    <row r="475" ht="15.75" customFormat="1" customHeight="1" s="26"/>
    <row r="476" ht="15.75" customFormat="1" customHeight="1" s="26"/>
    <row r="477" ht="15.75" customFormat="1" customHeight="1" s="26"/>
    <row r="478" ht="15.75" customFormat="1" customHeight="1" s="26"/>
    <row r="479" ht="15.75" customFormat="1" customHeight="1" s="26"/>
    <row r="480" ht="15.75" customFormat="1" customHeight="1" s="26"/>
    <row r="481" ht="15.75" customFormat="1" customHeight="1" s="26"/>
    <row r="482" ht="15.75" customFormat="1" customHeight="1" s="26"/>
    <row r="483" ht="15.75" customFormat="1" customHeight="1" s="26"/>
    <row r="484" ht="15.75" customFormat="1" customHeight="1" s="26"/>
    <row r="485" ht="15.75" customFormat="1" customHeight="1" s="26"/>
    <row r="486" ht="15.75" customFormat="1" customHeight="1" s="26"/>
    <row r="487" ht="15.75" customFormat="1" customHeight="1" s="26"/>
    <row r="488" ht="15.75" customFormat="1" customHeight="1" s="26"/>
    <row r="489" ht="15.75" customFormat="1" customHeight="1" s="26"/>
    <row r="490" ht="15.75" customFormat="1" customHeight="1" s="26"/>
    <row r="491" ht="15.75" customFormat="1" customHeight="1" s="26"/>
    <row r="492" ht="15.75" customFormat="1" customHeight="1" s="26"/>
    <row r="493" ht="15.75" customFormat="1" customHeight="1" s="26"/>
    <row r="494" ht="15.75" customFormat="1" customHeight="1" s="26"/>
    <row r="495" ht="15.75" customFormat="1" customHeight="1" s="26"/>
    <row r="496" ht="15.75" customFormat="1" customHeight="1" s="26"/>
    <row r="497" ht="15.75" customFormat="1" customHeight="1" s="26"/>
    <row r="498" ht="15.75" customFormat="1" customHeight="1" s="26"/>
    <row r="499" ht="15.75" customFormat="1" customHeight="1" s="26"/>
    <row r="500" ht="15.75" customFormat="1" customHeight="1" s="26"/>
    <row r="501" ht="15.75" customFormat="1" customHeight="1" s="26"/>
    <row r="502" ht="15.75" customFormat="1" customHeight="1" s="26"/>
    <row r="503" ht="15.75" customFormat="1" customHeight="1" s="26"/>
    <row r="504" ht="15.75" customFormat="1" customHeight="1" s="26"/>
    <row r="505" ht="15.75" customFormat="1" customHeight="1" s="26"/>
    <row r="506" ht="15.75" customFormat="1" customHeight="1" s="26"/>
    <row r="507" ht="15.75" customFormat="1" customHeight="1" s="26"/>
    <row r="508" ht="15.75" customFormat="1" customHeight="1" s="26"/>
    <row r="509" ht="15.75" customFormat="1" customHeight="1" s="26"/>
    <row r="510" ht="15.75" customFormat="1" customHeight="1" s="26"/>
    <row r="511" ht="15.75" customFormat="1" customHeight="1" s="26"/>
    <row r="512" ht="15.75" customFormat="1" customHeight="1" s="26"/>
    <row r="513" ht="15.75" customFormat="1" customHeight="1" s="26"/>
    <row r="514" ht="15.75" customFormat="1" customHeight="1" s="26"/>
    <row r="515" ht="15.75" customFormat="1" customHeight="1" s="26"/>
    <row r="516" ht="15.75" customFormat="1" customHeight="1" s="26"/>
    <row r="517" ht="15.75" customFormat="1" customHeight="1" s="26"/>
    <row r="518" ht="15.75" customFormat="1" customHeight="1" s="26"/>
    <row r="519" ht="15.75" customFormat="1" customHeight="1" s="26"/>
    <row r="520" ht="15.75" customFormat="1" customHeight="1" s="26"/>
    <row r="521" ht="15.75" customFormat="1" customHeight="1" s="26"/>
    <row r="522" ht="15.75" customFormat="1" customHeight="1" s="26"/>
    <row r="523" ht="15.75" customFormat="1" customHeight="1" s="26"/>
    <row r="524" ht="15.75" customFormat="1" customHeight="1" s="26"/>
    <row r="525" ht="15.75" customFormat="1" customHeight="1" s="26"/>
    <row r="526" ht="15.75" customFormat="1" customHeight="1" s="26"/>
    <row r="527" ht="15.75" customFormat="1" customHeight="1" s="26"/>
    <row r="528" ht="15.75" customFormat="1" customHeight="1" s="26"/>
    <row r="529" ht="15.75" customFormat="1" customHeight="1" s="26"/>
    <row r="530" ht="15.75" customFormat="1" customHeight="1" s="26"/>
    <row r="531" ht="15.75" customFormat="1" customHeight="1" s="26"/>
    <row r="532" ht="15.75" customFormat="1" customHeight="1" s="26"/>
    <row r="533" ht="15.75" customFormat="1" customHeight="1" s="26"/>
    <row r="534" ht="15.75" customFormat="1" customHeight="1" s="26"/>
    <row r="535" ht="15.75" customFormat="1" customHeight="1" s="26"/>
    <row r="536" ht="15.75" customFormat="1" customHeight="1" s="26"/>
    <row r="537" ht="15.75" customFormat="1" customHeight="1" s="26"/>
    <row r="538" ht="15.75" customFormat="1" customHeight="1" s="26"/>
    <row r="539" ht="15.75" customFormat="1" customHeight="1" s="26"/>
    <row r="540" ht="15.75" customFormat="1" customHeight="1" s="26"/>
    <row r="541" ht="15.75" customFormat="1" customHeight="1" s="26"/>
    <row r="542" ht="15.75" customFormat="1" customHeight="1" s="26"/>
    <row r="543" ht="15.75" customFormat="1" customHeight="1" s="26"/>
    <row r="544" ht="15.75" customFormat="1" customHeight="1" s="26"/>
    <row r="545" ht="15.75" customFormat="1" customHeight="1" s="26"/>
    <row r="546" ht="15.75" customFormat="1" customHeight="1" s="26"/>
    <row r="547" ht="15.75" customFormat="1" customHeight="1" s="26"/>
    <row r="548" ht="15.75" customFormat="1" customHeight="1" s="26"/>
    <row r="549" ht="15.75" customFormat="1" customHeight="1" s="26"/>
    <row r="550" ht="15.75" customFormat="1" customHeight="1" s="26"/>
    <row r="551" ht="15.75" customFormat="1" customHeight="1" s="26"/>
    <row r="552" ht="15.75" customFormat="1" customHeight="1" s="26"/>
    <row r="553" ht="15.75" customFormat="1" customHeight="1" s="26"/>
    <row r="554" ht="15.75" customFormat="1" customHeight="1" s="26"/>
    <row r="555" ht="15.75" customFormat="1" customHeight="1" s="26"/>
    <row r="556" ht="15.75" customFormat="1" customHeight="1" s="26"/>
    <row r="557" ht="15.75" customFormat="1" customHeight="1" s="26"/>
    <row r="558" ht="15.75" customFormat="1" customHeight="1" s="26"/>
    <row r="559" ht="15.75" customFormat="1" customHeight="1" s="26"/>
    <row r="560" ht="15.75" customFormat="1" customHeight="1" s="26"/>
    <row r="561" ht="15.75" customFormat="1" customHeight="1" s="26"/>
    <row r="562" ht="15.75" customFormat="1" customHeight="1" s="26"/>
    <row r="563" ht="15.75" customFormat="1" customHeight="1" s="26"/>
    <row r="564" ht="15.75" customFormat="1" customHeight="1" s="26"/>
    <row r="565" ht="15.75" customFormat="1" customHeight="1" s="26"/>
    <row r="566" ht="15.75" customFormat="1" customHeight="1" s="26"/>
    <row r="567" ht="15.75" customFormat="1" customHeight="1" s="26"/>
    <row r="568" ht="15.75" customFormat="1" customHeight="1" s="26"/>
    <row r="569" ht="15.75" customFormat="1" customHeight="1" s="26"/>
    <row r="570" ht="15.75" customFormat="1" customHeight="1" s="26"/>
    <row r="571" ht="15.75" customFormat="1" customHeight="1" s="26"/>
    <row r="572" ht="15.75" customFormat="1" customHeight="1" s="26"/>
    <row r="573" ht="15.75" customFormat="1" customHeight="1" s="26"/>
    <row r="574" ht="15.75" customFormat="1" customHeight="1" s="26"/>
    <row r="575" ht="15.75" customFormat="1" customHeight="1" s="26"/>
    <row r="576" ht="15.75" customFormat="1" customHeight="1" s="26"/>
    <row r="577" ht="15.75" customFormat="1" customHeight="1" s="26"/>
    <row r="578" ht="15.75" customFormat="1" customHeight="1" s="26"/>
    <row r="579" ht="15.75" customFormat="1" customHeight="1" s="26"/>
    <row r="580" ht="15.75" customFormat="1" customHeight="1" s="26"/>
    <row r="581" ht="15.75" customFormat="1" customHeight="1" s="26"/>
    <row r="582" ht="15.75" customFormat="1" customHeight="1" s="26"/>
    <row r="583" ht="15.75" customFormat="1" customHeight="1" s="26"/>
    <row r="584" ht="15.75" customFormat="1" customHeight="1" s="26"/>
    <row r="585" ht="15.75" customFormat="1" customHeight="1" s="26"/>
    <row r="586" ht="15.75" customFormat="1" customHeight="1" s="26"/>
    <row r="587" ht="15.75" customFormat="1" customHeight="1" s="26"/>
    <row r="588" ht="15.75" customFormat="1" customHeight="1" s="26"/>
    <row r="589" ht="15.75" customFormat="1" customHeight="1" s="26"/>
    <row r="590" ht="15.75" customFormat="1" customHeight="1" s="26"/>
    <row r="591" ht="15.75" customFormat="1" customHeight="1" s="26"/>
    <row r="592" ht="15.75" customFormat="1" customHeight="1" s="26"/>
    <row r="593" ht="15.75" customFormat="1" customHeight="1" s="26"/>
    <row r="594" ht="15.75" customFormat="1" customHeight="1" s="26"/>
    <row r="595" ht="15.75" customFormat="1" customHeight="1" s="26"/>
    <row r="596" ht="15.75" customFormat="1" customHeight="1" s="26"/>
    <row r="597" ht="15.75" customFormat="1" customHeight="1" s="26"/>
    <row r="598" ht="15.75" customFormat="1" customHeight="1" s="26"/>
    <row r="599" ht="15.75" customFormat="1" customHeight="1" s="26"/>
    <row r="600" ht="15.75" customFormat="1" customHeight="1" s="26"/>
    <row r="601" ht="15.75" customFormat="1" customHeight="1" s="26"/>
    <row r="602" ht="15.75" customFormat="1" customHeight="1" s="26"/>
    <row r="603" ht="15.75" customFormat="1" customHeight="1" s="26"/>
    <row r="604" ht="15.75" customFormat="1" customHeight="1" s="26"/>
    <row r="605" ht="15.75" customFormat="1" customHeight="1" s="26"/>
    <row r="606" ht="15.75" customFormat="1" customHeight="1" s="26"/>
    <row r="607" ht="15.75" customFormat="1" customHeight="1" s="26"/>
    <row r="608" ht="15.75" customFormat="1" customHeight="1" s="26"/>
    <row r="609" ht="15.75" customFormat="1" customHeight="1" s="26"/>
    <row r="610" ht="15.75" customFormat="1" customHeight="1" s="26"/>
    <row r="611" ht="15.75" customFormat="1" customHeight="1" s="26"/>
    <row r="612" ht="15.75" customFormat="1" customHeight="1" s="26"/>
    <row r="613" ht="15.75" customFormat="1" customHeight="1" s="26"/>
    <row r="614" ht="15.75" customFormat="1" customHeight="1" s="26"/>
    <row r="615" ht="15.75" customFormat="1" customHeight="1" s="26"/>
    <row r="616" ht="15.75" customFormat="1" customHeight="1" s="26"/>
    <row r="617" ht="15.75" customFormat="1" customHeight="1" s="26"/>
    <row r="618" ht="15.75" customFormat="1" customHeight="1" s="26"/>
    <row r="619" ht="15.75" customFormat="1" customHeight="1" s="26"/>
    <row r="620" ht="15.75" customFormat="1" customHeight="1" s="26"/>
    <row r="621" ht="15.75" customFormat="1" customHeight="1" s="26"/>
    <row r="622" ht="15.75" customFormat="1" customHeight="1" s="26"/>
    <row r="623" ht="15.75" customFormat="1" customHeight="1" s="26"/>
    <row r="624" ht="15.75" customFormat="1" customHeight="1" s="26"/>
    <row r="625" ht="15.75" customFormat="1" customHeight="1" s="26"/>
    <row r="626" ht="15.75" customFormat="1" customHeight="1" s="26"/>
    <row r="627" ht="15.75" customFormat="1" customHeight="1" s="26"/>
    <row r="628" ht="15.75" customFormat="1" customHeight="1" s="26"/>
    <row r="629" ht="15.75" customFormat="1" customHeight="1" s="26"/>
    <row r="630" ht="15.75" customFormat="1" customHeight="1" s="26"/>
    <row r="631" ht="15.75" customFormat="1" customHeight="1" s="26"/>
    <row r="632" ht="15.75" customFormat="1" customHeight="1" s="26"/>
    <row r="633" ht="15.75" customFormat="1" customHeight="1" s="26"/>
    <row r="634" ht="15.75" customFormat="1" customHeight="1" s="26"/>
    <row r="635" ht="15.75" customFormat="1" customHeight="1" s="26"/>
    <row r="636" ht="15.75" customFormat="1" customHeight="1" s="26"/>
    <row r="637" ht="15.75" customFormat="1" customHeight="1" s="26"/>
    <row r="638" ht="15.75" customFormat="1" customHeight="1" s="26"/>
    <row r="639" ht="15.75" customFormat="1" customHeight="1" s="26"/>
    <row r="640" ht="15.75" customFormat="1" customHeight="1" s="26"/>
    <row r="641" ht="15.75" customFormat="1" customHeight="1" s="26"/>
    <row r="642" ht="15.75" customFormat="1" customHeight="1" s="26"/>
    <row r="643" ht="15.75" customFormat="1" customHeight="1" s="26"/>
    <row r="644" ht="15.75" customFormat="1" customHeight="1" s="26"/>
    <row r="645" ht="15.75" customFormat="1" customHeight="1" s="26"/>
    <row r="646" ht="15.75" customFormat="1" customHeight="1" s="26"/>
    <row r="647" ht="15.75" customFormat="1" customHeight="1" s="26"/>
    <row r="648" ht="15.75" customFormat="1" customHeight="1" s="26"/>
    <row r="649" ht="15.75" customFormat="1" customHeight="1" s="26"/>
    <row r="650" ht="15.75" customFormat="1" customHeight="1" s="26"/>
    <row r="651" ht="15.75" customFormat="1" customHeight="1" s="26"/>
    <row r="652" ht="15.75" customFormat="1" customHeight="1" s="26"/>
    <row r="653" ht="15.75" customFormat="1" customHeight="1" s="26"/>
    <row r="654" ht="15.75" customFormat="1" customHeight="1" s="26"/>
    <row r="655" ht="15.75" customFormat="1" customHeight="1" s="26"/>
    <row r="656" ht="15.75" customFormat="1" customHeight="1" s="26"/>
    <row r="657" ht="15.75" customFormat="1" customHeight="1" s="26"/>
    <row r="658" ht="15.75" customFormat="1" customHeight="1" s="26"/>
    <row r="659" ht="15.75" customFormat="1" customHeight="1" s="26"/>
    <row r="660" ht="15.75" customFormat="1" customHeight="1" s="26"/>
    <row r="661" ht="15.75" customFormat="1" customHeight="1" s="26"/>
    <row r="662" ht="15.75" customFormat="1" customHeight="1" s="26"/>
    <row r="663" ht="15.75" customFormat="1" customHeight="1" s="26"/>
    <row r="664" ht="15.75" customFormat="1" customHeight="1" s="26"/>
    <row r="665" ht="15.75" customFormat="1" customHeight="1" s="26"/>
    <row r="666" ht="15.75" customFormat="1" customHeight="1" s="26"/>
    <row r="667" ht="15.75" customFormat="1" customHeight="1" s="26"/>
    <row r="668" ht="15.75" customFormat="1" customHeight="1" s="26"/>
    <row r="669" ht="15.75" customFormat="1" customHeight="1" s="26"/>
    <row r="670" ht="15.75" customFormat="1" customHeight="1" s="26"/>
    <row r="671" ht="15.75" customFormat="1" customHeight="1" s="26"/>
    <row r="672" ht="15.75" customFormat="1" customHeight="1" s="26"/>
    <row r="673" ht="15.75" customFormat="1" customHeight="1" s="26"/>
    <row r="674" ht="15.75" customFormat="1" customHeight="1" s="26"/>
    <row r="675" ht="15.75" customFormat="1" customHeight="1" s="26"/>
    <row r="676" ht="15.75" customFormat="1" customHeight="1" s="26"/>
    <row r="677" ht="15.75" customFormat="1" customHeight="1" s="26"/>
    <row r="678" ht="15.75" customFormat="1" customHeight="1" s="26"/>
    <row r="679" ht="15.75" customFormat="1" customHeight="1" s="26"/>
    <row r="680" ht="15.75" customFormat="1" customHeight="1" s="26"/>
    <row r="681" ht="15.75" customFormat="1" customHeight="1" s="26"/>
    <row r="682" ht="15.75" customFormat="1" customHeight="1" s="26"/>
    <row r="683" ht="15.75" customFormat="1" customHeight="1" s="26"/>
    <row r="684" ht="15.75" customFormat="1" customHeight="1" s="26"/>
    <row r="685" ht="15.75" customFormat="1" customHeight="1" s="26"/>
    <row r="686" ht="15.75" customFormat="1" customHeight="1" s="26"/>
    <row r="687" ht="15.75" customFormat="1" customHeight="1" s="26"/>
    <row r="688" ht="15.75" customFormat="1" customHeight="1" s="26"/>
    <row r="689" ht="15.75" customFormat="1" customHeight="1" s="26"/>
    <row r="690" ht="15.75" customFormat="1" customHeight="1" s="26"/>
    <row r="691" ht="15.75" customFormat="1" customHeight="1" s="26"/>
    <row r="692" ht="15.75" customFormat="1" customHeight="1" s="26"/>
    <row r="693" ht="15.75" customFormat="1" customHeight="1" s="26"/>
    <row r="694" ht="15.75" customFormat="1" customHeight="1" s="26"/>
    <row r="695" ht="15.75" customFormat="1" customHeight="1" s="26"/>
    <row r="696" ht="15.75" customFormat="1" customHeight="1" s="26"/>
    <row r="697" ht="15.75" customFormat="1" customHeight="1" s="26"/>
    <row r="698" ht="15.75" customFormat="1" customHeight="1" s="26"/>
    <row r="699" ht="15.75" customFormat="1" customHeight="1" s="26"/>
    <row r="700" ht="15.75" customFormat="1" customHeight="1" s="26"/>
    <row r="701" ht="15.75" customFormat="1" customHeight="1" s="26"/>
    <row r="702" ht="15.75" customFormat="1" customHeight="1" s="26"/>
    <row r="703" ht="15.75" customFormat="1" customHeight="1" s="26"/>
    <row r="704" ht="15.75" customFormat="1" customHeight="1" s="26"/>
    <row r="705" ht="15.75" customFormat="1" customHeight="1" s="26"/>
    <row r="706" ht="15.75" customFormat="1" customHeight="1" s="26"/>
    <row r="707" ht="15.75" customFormat="1" customHeight="1" s="26"/>
    <row r="708" ht="15.75" customFormat="1" customHeight="1" s="26"/>
    <row r="709" ht="15.75" customFormat="1" customHeight="1" s="26"/>
    <row r="710" ht="15.75" customFormat="1" customHeight="1" s="26"/>
    <row r="711" ht="15.75" customFormat="1" customHeight="1" s="26"/>
    <row r="712" ht="15.75" customFormat="1" customHeight="1" s="26"/>
    <row r="713" ht="15.75" customFormat="1" customHeight="1" s="26"/>
    <row r="714" ht="15.75" customFormat="1" customHeight="1" s="26"/>
    <row r="715" ht="15.75" customFormat="1" customHeight="1" s="26"/>
    <row r="716" ht="15.75" customFormat="1" customHeight="1" s="26"/>
    <row r="717" ht="15.75" customFormat="1" customHeight="1" s="26"/>
    <row r="718" ht="15.75" customFormat="1" customHeight="1" s="26"/>
    <row r="719" ht="15.75" customFormat="1" customHeight="1" s="26"/>
    <row r="720" ht="15.75" customFormat="1" customHeight="1" s="26"/>
    <row r="721" ht="15.75" customFormat="1" customHeight="1" s="26"/>
    <row r="722" ht="15.75" customFormat="1" customHeight="1" s="26"/>
    <row r="723" ht="15.75" customFormat="1" customHeight="1" s="26"/>
    <row r="724" ht="15.75" customFormat="1" customHeight="1" s="26"/>
    <row r="725" ht="15.75" customFormat="1" customHeight="1" s="26"/>
    <row r="726" ht="15.75" customFormat="1" customHeight="1" s="26"/>
    <row r="727" ht="15.75" customFormat="1" customHeight="1" s="26"/>
    <row r="728" ht="15.75" customFormat="1" customHeight="1" s="26"/>
    <row r="729" ht="15.75" customFormat="1" customHeight="1" s="26"/>
    <row r="730" ht="15.75" customFormat="1" customHeight="1" s="26"/>
    <row r="731" ht="15.75" customFormat="1" customHeight="1" s="26"/>
    <row r="732" ht="15.75" customFormat="1" customHeight="1" s="26"/>
    <row r="733" ht="15.75" customFormat="1" customHeight="1" s="26"/>
    <row r="734" ht="15.75" customFormat="1" customHeight="1" s="26"/>
    <row r="735" ht="15.75" customFormat="1" customHeight="1" s="26"/>
    <row r="736" ht="15.75" customFormat="1" customHeight="1" s="26"/>
    <row r="737" ht="15.75" customFormat="1" customHeight="1" s="26"/>
    <row r="738" ht="15.75" customFormat="1" customHeight="1" s="26"/>
    <row r="739" ht="15.75" customFormat="1" customHeight="1" s="26"/>
    <row r="740" ht="15.75" customFormat="1" customHeight="1" s="26"/>
    <row r="741" ht="15.75" customFormat="1" customHeight="1" s="26"/>
    <row r="742" ht="15.75" customFormat="1" customHeight="1" s="26"/>
    <row r="743" ht="15.75" customFormat="1" customHeight="1" s="26"/>
    <row r="744" ht="15.75" customFormat="1" customHeight="1" s="26"/>
    <row r="745" ht="15.75" customFormat="1" customHeight="1" s="26"/>
    <row r="746" ht="15.75" customFormat="1" customHeight="1" s="26"/>
    <row r="747" ht="15.75" customFormat="1" customHeight="1" s="26"/>
    <row r="748" ht="15.75" customFormat="1" customHeight="1" s="26"/>
    <row r="749" ht="15.75" customFormat="1" customHeight="1" s="26"/>
    <row r="750" ht="15.75" customFormat="1" customHeight="1" s="26"/>
    <row r="751" ht="15.75" customFormat="1" customHeight="1" s="26"/>
    <row r="752" ht="15.75" customFormat="1" customHeight="1" s="26"/>
    <row r="753" ht="15.75" customFormat="1" customHeight="1" s="26"/>
    <row r="754" ht="15.75" customFormat="1" customHeight="1" s="26"/>
    <row r="755" ht="15.75" customFormat="1" customHeight="1" s="26"/>
    <row r="756" ht="15.75" customFormat="1" customHeight="1" s="26"/>
    <row r="757" ht="15.75" customFormat="1" customHeight="1" s="26"/>
    <row r="758" ht="15.75" customFormat="1" customHeight="1" s="26"/>
    <row r="759" ht="15.75" customFormat="1" customHeight="1" s="26"/>
    <row r="760" ht="15.75" customFormat="1" customHeight="1" s="26"/>
    <row r="761" ht="15.75" customFormat="1" customHeight="1" s="26"/>
    <row r="762" ht="15.75" customFormat="1" customHeight="1" s="26"/>
    <row r="763" ht="15.75" customFormat="1" customHeight="1" s="26"/>
    <row r="764" ht="15.75" customFormat="1" customHeight="1" s="26"/>
    <row r="765" ht="15.75" customFormat="1" customHeight="1" s="26"/>
    <row r="766" ht="15.75" customFormat="1" customHeight="1" s="26"/>
    <row r="767" ht="15.75" customFormat="1" customHeight="1" s="26"/>
    <row r="768" ht="15.75" customFormat="1" customHeight="1" s="26"/>
    <row r="769" ht="15.75" customFormat="1" customHeight="1" s="26"/>
    <row r="770" ht="15.75" customFormat="1" customHeight="1" s="26"/>
    <row r="771" ht="15.75" customFormat="1" customHeight="1" s="26"/>
    <row r="772" ht="15.75" customFormat="1" customHeight="1" s="26"/>
    <row r="773" ht="15.75" customFormat="1" customHeight="1" s="26"/>
    <row r="774" ht="15.75" customFormat="1" customHeight="1" s="26"/>
    <row r="775" ht="15.75" customFormat="1" customHeight="1" s="26"/>
    <row r="776" ht="15.75" customFormat="1" customHeight="1" s="26"/>
    <row r="777" ht="15.75" customFormat="1" customHeight="1" s="26"/>
    <row r="778" ht="15.75" customFormat="1" customHeight="1" s="26"/>
    <row r="779" ht="15.75" customFormat="1" customHeight="1" s="26"/>
    <row r="780" ht="15.75" customFormat="1" customHeight="1" s="26"/>
    <row r="781" ht="15.75" customFormat="1" customHeight="1" s="26"/>
    <row r="782" ht="15.75" customFormat="1" customHeight="1" s="26"/>
    <row r="783" ht="15.75" customFormat="1" customHeight="1" s="26"/>
    <row r="784" ht="15.75" customFormat="1" customHeight="1" s="26"/>
    <row r="785" ht="15.75" customFormat="1" customHeight="1" s="26"/>
    <row r="786" ht="15.75" customFormat="1" customHeight="1" s="26"/>
    <row r="787" ht="15.75" customFormat="1" customHeight="1" s="26"/>
    <row r="788" ht="15.75" customFormat="1" customHeight="1" s="26"/>
    <row r="789" ht="15.75" customFormat="1" customHeight="1" s="26"/>
    <row r="790" ht="15.75" customFormat="1" customHeight="1" s="26"/>
    <row r="791" ht="15.75" customFormat="1" customHeight="1" s="26"/>
    <row r="792" ht="15.75" customFormat="1" customHeight="1" s="26"/>
    <row r="793" ht="15.75" customFormat="1" customHeight="1" s="26"/>
    <row r="794" ht="15.75" customFormat="1" customHeight="1" s="26"/>
    <row r="795" ht="15.75" customFormat="1" customHeight="1" s="26"/>
    <row r="796" ht="15.75" customFormat="1" customHeight="1" s="26"/>
    <row r="797" ht="15.75" customFormat="1" customHeight="1" s="26"/>
    <row r="798" ht="15.75" customFormat="1" customHeight="1" s="26"/>
    <row r="799" ht="15.75" customFormat="1" customHeight="1" s="26"/>
    <row r="800" ht="15.75" customFormat="1" customHeight="1" s="26"/>
    <row r="801" ht="15.75" customFormat="1" customHeight="1" s="26"/>
    <row r="802" ht="15.75" customFormat="1" customHeight="1" s="26"/>
    <row r="803" ht="15.75" customFormat="1" customHeight="1" s="26"/>
    <row r="804" ht="15.75" customFormat="1" customHeight="1" s="26"/>
    <row r="805" ht="15.75" customFormat="1" customHeight="1" s="26"/>
    <row r="806" ht="15.75" customFormat="1" customHeight="1" s="26"/>
    <row r="807" ht="15.75" customFormat="1" customHeight="1" s="26"/>
    <row r="808" ht="15.75" customFormat="1" customHeight="1" s="26"/>
    <row r="809" ht="15.75" customFormat="1" customHeight="1" s="26"/>
    <row r="810" ht="15.75" customFormat="1" customHeight="1" s="26"/>
    <row r="811" ht="15.75" customFormat="1" customHeight="1" s="26"/>
    <row r="812" ht="15.75" customFormat="1" customHeight="1" s="26"/>
    <row r="813" ht="15.75" customFormat="1" customHeight="1" s="26"/>
    <row r="814" ht="15.75" customFormat="1" customHeight="1" s="26"/>
    <row r="815" ht="15.75" customFormat="1" customHeight="1" s="26"/>
    <row r="816" ht="15.75" customFormat="1" customHeight="1" s="26"/>
    <row r="817" ht="15.75" customFormat="1" customHeight="1" s="26"/>
    <row r="818" ht="15.75" customFormat="1" customHeight="1" s="26"/>
    <row r="819" ht="15.75" customFormat="1" customHeight="1" s="26"/>
    <row r="820" ht="15.75" customFormat="1" customHeight="1" s="26"/>
    <row r="821" ht="15.75" customFormat="1" customHeight="1" s="26"/>
    <row r="822" ht="15.75" customFormat="1" customHeight="1" s="26"/>
    <row r="823" ht="15.75" customFormat="1" customHeight="1" s="26"/>
    <row r="824" ht="15.75" customFormat="1" customHeight="1" s="26"/>
    <row r="825" ht="15.75" customFormat="1" customHeight="1" s="26"/>
    <row r="826" ht="15.75" customFormat="1" customHeight="1" s="26"/>
    <row r="827" ht="15.75" customFormat="1" customHeight="1" s="26"/>
    <row r="828" ht="15.75" customFormat="1" customHeight="1" s="26"/>
    <row r="829" ht="15.75" customFormat="1" customHeight="1" s="26"/>
    <row r="830" ht="15.75" customFormat="1" customHeight="1" s="26"/>
    <row r="831" ht="15.75" customFormat="1" customHeight="1" s="26"/>
    <row r="832" ht="15.75" customFormat="1" customHeight="1" s="26"/>
    <row r="833" ht="15.75" customFormat="1" customHeight="1" s="26"/>
    <row r="834" ht="15.75" customFormat="1" customHeight="1" s="26"/>
    <row r="835" ht="15.75" customFormat="1" customHeight="1" s="26"/>
    <row r="836" ht="15.75" customFormat="1" customHeight="1" s="26"/>
    <row r="837" ht="15.75" customFormat="1" customHeight="1" s="26"/>
    <row r="838" ht="15.75" customFormat="1" customHeight="1" s="26"/>
    <row r="839" ht="15.75" customFormat="1" customHeight="1" s="26"/>
    <row r="840" ht="15.75" customFormat="1" customHeight="1" s="26"/>
    <row r="841" ht="15.75" customFormat="1" customHeight="1" s="26"/>
    <row r="842" ht="15.75" customFormat="1" customHeight="1" s="26"/>
    <row r="843" ht="15.75" customFormat="1" customHeight="1" s="26"/>
    <row r="844" ht="15.75" customFormat="1" customHeight="1" s="26"/>
    <row r="845" ht="15.75" customFormat="1" customHeight="1" s="26"/>
    <row r="846" ht="15.75" customFormat="1" customHeight="1" s="26"/>
    <row r="847" ht="15.75" customFormat="1" customHeight="1" s="26"/>
    <row r="848" ht="15.75" customFormat="1" customHeight="1" s="26"/>
    <row r="849" ht="15.75" customFormat="1" customHeight="1" s="26"/>
    <row r="850" ht="15.75" customFormat="1" customHeight="1" s="26"/>
    <row r="851" ht="15.75" customFormat="1" customHeight="1" s="26"/>
    <row r="852" ht="15.75" customFormat="1" customHeight="1" s="26"/>
    <row r="853" ht="15.75" customFormat="1" customHeight="1" s="26"/>
    <row r="854" ht="15.75" customFormat="1" customHeight="1" s="26"/>
    <row r="855" ht="15.75" customFormat="1" customHeight="1" s="26"/>
    <row r="856" ht="15.75" customFormat="1" customHeight="1" s="26"/>
    <row r="857" ht="15.75" customFormat="1" customHeight="1" s="26"/>
    <row r="858" ht="15.75" customFormat="1" customHeight="1" s="26"/>
    <row r="859" ht="15.75" customFormat="1" customHeight="1" s="26"/>
    <row r="860" ht="15.75" customFormat="1" customHeight="1" s="26"/>
    <row r="861" ht="15.75" customFormat="1" customHeight="1" s="26"/>
    <row r="862" ht="15.75" customFormat="1" customHeight="1" s="26"/>
    <row r="863" ht="15.75" customFormat="1" customHeight="1" s="26"/>
    <row r="864" ht="15.75" customFormat="1" customHeight="1" s="26"/>
    <row r="865" ht="15.75" customFormat="1" customHeight="1" s="26"/>
    <row r="866" ht="15.75" customFormat="1" customHeight="1" s="26"/>
    <row r="867" ht="15.75" customFormat="1" customHeight="1" s="26"/>
    <row r="868" ht="15.75" customFormat="1" customHeight="1" s="26"/>
    <row r="869" ht="15.75" customFormat="1" customHeight="1" s="26"/>
    <row r="870" ht="15.75" customFormat="1" customHeight="1" s="26"/>
    <row r="871" ht="15.75" customFormat="1" customHeight="1" s="26"/>
    <row r="872" ht="15.75" customFormat="1" customHeight="1" s="26"/>
    <row r="873" ht="15.75" customFormat="1" customHeight="1" s="26"/>
    <row r="874" ht="15.75" customFormat="1" customHeight="1" s="26"/>
    <row r="875" ht="15.75" customFormat="1" customHeight="1" s="26"/>
    <row r="876" ht="15.75" customFormat="1" customHeight="1" s="26"/>
    <row r="877" ht="15.75" customFormat="1" customHeight="1" s="26"/>
    <row r="878" ht="15.75" customFormat="1" customHeight="1" s="26"/>
    <row r="879" ht="15.75" customFormat="1" customHeight="1" s="26"/>
    <row r="880" ht="15.75" customFormat="1" customHeight="1" s="26"/>
    <row r="881" ht="15.75" customFormat="1" customHeight="1" s="26"/>
    <row r="882" ht="15.75" customFormat="1" customHeight="1" s="26"/>
    <row r="883" ht="15.75" customFormat="1" customHeight="1" s="26"/>
    <row r="884" ht="15.75" customFormat="1" customHeight="1" s="26"/>
    <row r="885" ht="15.75" customFormat="1" customHeight="1" s="26"/>
    <row r="886" ht="15.75" customFormat="1" customHeight="1" s="26"/>
    <row r="887" ht="15.75" customFormat="1" customHeight="1" s="26"/>
    <row r="888" ht="15.75" customFormat="1" customHeight="1" s="26"/>
    <row r="889" ht="15.75" customFormat="1" customHeight="1" s="26"/>
    <row r="890" ht="15.75" customFormat="1" customHeight="1" s="26"/>
    <row r="891" ht="15.75" customFormat="1" customHeight="1" s="26"/>
    <row r="892" ht="15.75" customFormat="1" customHeight="1" s="26"/>
    <row r="893" ht="15.75" customFormat="1" customHeight="1" s="26"/>
    <row r="894" ht="15.75" customFormat="1" customHeight="1" s="26"/>
    <row r="895" ht="15.75" customFormat="1" customHeight="1" s="26"/>
    <row r="896" ht="15.75" customFormat="1" customHeight="1" s="26"/>
    <row r="897" ht="15.75" customFormat="1" customHeight="1" s="26"/>
    <row r="898" ht="15.75" customFormat="1" customHeight="1" s="26"/>
    <row r="899" ht="15.75" customFormat="1" customHeight="1" s="26"/>
    <row r="900" ht="15.75" customFormat="1" customHeight="1" s="26"/>
    <row r="901" ht="15.75" customFormat="1" customHeight="1" s="26"/>
    <row r="902" ht="15.75" customFormat="1" customHeight="1" s="26"/>
    <row r="903" ht="15.75" customFormat="1" customHeight="1" s="26"/>
    <row r="904" ht="15.75" customFormat="1" customHeight="1" s="26"/>
    <row r="905" ht="15.75" customFormat="1" customHeight="1" s="26"/>
    <row r="906" ht="15.75" customFormat="1" customHeight="1" s="26"/>
    <row r="907" ht="15.75" customFormat="1" customHeight="1" s="26"/>
    <row r="908" ht="15.75" customFormat="1" customHeight="1" s="26"/>
    <row r="909" ht="15.75" customFormat="1" customHeight="1" s="26"/>
    <row r="910" ht="15.75" customFormat="1" customHeight="1" s="26"/>
    <row r="911" ht="15.75" customFormat="1" customHeight="1" s="26"/>
    <row r="912" ht="15.75" customFormat="1" customHeight="1" s="26"/>
    <row r="913" ht="15.75" customFormat="1" customHeight="1" s="26"/>
    <row r="914" ht="15.75" customFormat="1" customHeight="1" s="26"/>
    <row r="915" ht="15.75" customFormat="1" customHeight="1" s="26"/>
    <row r="916" ht="15.75" customFormat="1" customHeight="1" s="26"/>
    <row r="917" ht="15.75" customFormat="1" customHeight="1" s="26"/>
    <row r="918" ht="15.75" customFormat="1" customHeight="1" s="26"/>
    <row r="919" ht="15.75" customFormat="1" customHeight="1" s="26"/>
    <row r="920" ht="15.75" customFormat="1" customHeight="1" s="26"/>
    <row r="921" ht="15.75" customFormat="1" customHeight="1" s="26"/>
    <row r="922" ht="15.75" customFormat="1" customHeight="1" s="26"/>
    <row r="923" ht="15.75" customFormat="1" customHeight="1" s="26"/>
    <row r="924" ht="15.75" customFormat="1" customHeight="1" s="26"/>
    <row r="925" ht="15.75" customFormat="1" customHeight="1" s="26"/>
    <row r="926" ht="15.75" customFormat="1" customHeight="1" s="26"/>
    <row r="927" ht="15.75" customFormat="1" customHeight="1" s="26"/>
    <row r="928" ht="15.75" customFormat="1" customHeight="1" s="26"/>
    <row r="929" ht="15.75" customFormat="1" customHeight="1" s="26"/>
    <row r="930" ht="15.75" customFormat="1" customHeight="1" s="26"/>
    <row r="931" ht="15.75" customFormat="1" customHeight="1" s="26"/>
    <row r="932" ht="15.75" customFormat="1" customHeight="1" s="26"/>
    <row r="933" ht="15.75" customFormat="1" customHeight="1" s="26"/>
    <row r="934" ht="15.75" customFormat="1" customHeight="1" s="26"/>
    <row r="935" ht="15.75" customFormat="1" customHeight="1" s="26"/>
    <row r="936" ht="15.75" customFormat="1" customHeight="1" s="26"/>
    <row r="937" ht="15.75" customFormat="1" customHeight="1" s="26"/>
    <row r="938" ht="15.75" customFormat="1" customHeight="1" s="26"/>
    <row r="939" ht="15.75" customFormat="1" customHeight="1" s="26"/>
    <row r="940" ht="15.75" customFormat="1" customHeight="1" s="26"/>
    <row r="941" ht="15.75" customFormat="1" customHeight="1" s="26"/>
    <row r="942" ht="15.75" customFormat="1" customHeight="1" s="26"/>
    <row r="943" ht="15.75" customFormat="1" customHeight="1" s="26"/>
    <row r="944" ht="15.75" customFormat="1" customHeight="1" s="26"/>
    <row r="945" ht="15.75" customFormat="1" customHeight="1" s="26"/>
    <row r="946" ht="15.75" customFormat="1" customHeight="1" s="26"/>
    <row r="947" ht="15.75" customFormat="1" customHeight="1" s="26"/>
    <row r="948" ht="15.75" customFormat="1" customHeight="1" s="26"/>
    <row r="949" ht="15.75" customFormat="1" customHeight="1" s="26"/>
    <row r="950" ht="15.75" customFormat="1" customHeight="1" s="26"/>
    <row r="951" ht="15.75" customFormat="1" customHeight="1" s="26"/>
    <row r="952" ht="15.75" customFormat="1" customHeight="1" s="26"/>
    <row r="953" ht="15.75" customFormat="1" customHeight="1" s="26"/>
    <row r="954" ht="15.75" customFormat="1" customHeight="1" s="26"/>
    <row r="955" ht="15.75" customFormat="1" customHeight="1" s="26"/>
    <row r="956" ht="15.75" customFormat="1" customHeight="1" s="26"/>
    <row r="957" ht="15.75" customFormat="1" customHeight="1" s="26"/>
    <row r="958" ht="15.75" customFormat="1" customHeight="1" s="26"/>
    <row r="959" ht="15.75" customFormat="1" customHeight="1" s="26"/>
    <row r="960" ht="15.75" customFormat="1" customHeight="1" s="26"/>
    <row r="961" ht="15.75" customFormat="1" customHeight="1" s="26"/>
    <row r="962" ht="15.75" customFormat="1" customHeight="1" s="26"/>
    <row r="963" ht="15.75" customFormat="1" customHeight="1" s="26"/>
    <row r="964" ht="15.75" customFormat="1" customHeight="1" s="26"/>
    <row r="965" ht="15.75" customFormat="1" customHeight="1" s="26"/>
    <row r="966" ht="15.75" customFormat="1" customHeight="1" s="26"/>
    <row r="967" ht="15.75" customFormat="1" customHeight="1" s="26"/>
    <row r="968" ht="15.75" customFormat="1" customHeight="1" s="26"/>
    <row r="969" ht="15.75" customFormat="1" customHeight="1" s="26"/>
    <row r="970" ht="15.75" customFormat="1" customHeight="1" s="26"/>
    <row r="971" ht="15.75" customFormat="1" customHeight="1" s="26"/>
    <row r="972" ht="15.75" customFormat="1" customHeight="1" s="26"/>
    <row r="973" ht="15.75" customFormat="1" customHeight="1" s="26"/>
    <row r="974" ht="15.75" customFormat="1" customHeight="1" s="26"/>
    <row r="975" ht="15.75" customFormat="1" customHeight="1" s="26"/>
    <row r="976" ht="15.75" customFormat="1" customHeight="1" s="26"/>
    <row r="977" ht="15.75" customFormat="1" customHeight="1" s="26"/>
    <row r="978" ht="15.75" customFormat="1" customHeight="1" s="26"/>
    <row r="979" ht="15.75" customFormat="1" customHeight="1" s="26"/>
    <row r="980" ht="15.75" customFormat="1" customHeight="1" s="26"/>
    <row r="981" ht="15.75" customFormat="1" customHeight="1" s="26"/>
    <row r="982" ht="15.75" customFormat="1" customHeight="1" s="26"/>
    <row r="983" ht="15.75" customFormat="1" customHeight="1" s="26"/>
    <row r="984" ht="15.75" customFormat="1" customHeight="1" s="26"/>
    <row r="985" ht="15.75" customFormat="1" customHeight="1" s="26"/>
    <row r="986" ht="15.75" customFormat="1" customHeight="1" s="26"/>
    <row r="987" ht="15.75" customFormat="1" customHeight="1" s="26"/>
    <row r="988" ht="15.75" customFormat="1" customHeight="1" s="26"/>
    <row r="989" ht="15.75" customFormat="1" customHeight="1" s="26"/>
    <row r="990" ht="15.75" customFormat="1" customHeight="1" s="26"/>
    <row r="991" ht="15.75" customFormat="1" customHeight="1" s="26"/>
    <row r="992" ht="15.75" customFormat="1" customHeight="1" s="26"/>
    <row r="993" ht="15.75" customFormat="1" customHeight="1" s="26"/>
    <row r="994" ht="15.75" customFormat="1" customHeight="1" s="26"/>
    <row r="995" ht="15.75" customFormat="1" customHeight="1" s="26"/>
    <row r="996" ht="15.75" customFormat="1" customHeight="1" s="26"/>
    <row r="997" ht="15.75" customFormat="1" customHeight="1" s="26"/>
    <row r="998" ht="15.75" customFormat="1" customHeight="1" s="26"/>
    <row r="999" ht="15.75" customFormat="1" customHeight="1" s="26"/>
    <row r="1000" ht="15.75" customFormat="1" customHeight="1" s="26"/>
  </sheetData>
  <autoFilter ref="A1:E87"/>
  <mergeCells count="4">
    <mergeCell ref="G2:H2"/>
    <mergeCell ref="G1:H1"/>
    <mergeCell ref="I2:J2"/>
    <mergeCell ref="I1:J1"/>
  </mergeCells>
  <conditionalFormatting sqref="C2:C201">
    <cfRule type="cellIs" priority="1" operator="equal" dxfId="42">
      <formula>"Debt"</formula>
    </cfRule>
    <cfRule type="cellIs" priority="2" operator="equal" dxfId="38">
      <formula>"N/A - Annually"</formula>
    </cfRule>
    <cfRule type="cellIs" priority="3" operator="equal" dxfId="40">
      <formula>"Prepaid"</formula>
    </cfRule>
    <cfRule type="cellIs" priority="4" operator="equal" dxfId="39">
      <formula>"Quarterly"</formula>
    </cfRule>
    <cfRule type="cellIs" priority="5" operator="equal" dxfId="38">
      <formula>"N/A - Monthly"</formula>
    </cfRule>
    <cfRule type="cellIs" priority="6" operator="equal" dxfId="37">
      <formula>"Monthly"</formula>
    </cfRule>
    <cfRule type="cellIs" priority="7" operator="equal" dxfId="36">
      <formula>"Annually"</formula>
    </cfRule>
  </conditionalFormatting>
  <dataValidations count="3">
    <dataValidation sqref="C2:C201" showDropDown="0" showInputMessage="0" showErrorMessage="0" allowBlank="1" type="list">
      <formula1>"Bi-weekly,Monthly,Quarterly,Annually,Debt,Prepaid,N/A - Monthly,N/A - Annually"</formula1>
    </dataValidation>
    <dataValidation sqref="D2:E87" showDropDown="1" showInputMessage="0" showErrorMessage="0" allowBlank="1" type="custom">
      <formula1>OR(NOT(ISERROR(DATEVALUE(D2))), AND(ISNUMBER(D2), LEFT(CELL("format", D2))="D"))</formula1>
    </dataValidation>
    <dataValidation sqref="B2:B87" showDropDown="1" showInputMessage="0" showErrorMessage="0" allowBlank="1" type="custom">
      <formula1>AND(ISNUMBER(B2),(NOT(OR(NOT(ISERROR(DATEVALUE(B2))), AND(ISNUMBER(B2), LEFT(CELL("format", B2))="D")))))</formula1>
    </dataValidation>
  </dataValidations>
  <hyperlinks>
    <hyperlink xmlns:r="http://schemas.openxmlformats.org/officeDocument/2006/relationships" ref="A2" location="login-modal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5" r:id="rId10"/>
    <hyperlink xmlns:r="http://schemas.openxmlformats.org/officeDocument/2006/relationships" ref="A16" location="/enhancedportal" r:id="rId11"/>
    <hyperlink xmlns:r="http://schemas.openxmlformats.org/officeDocument/2006/relationships" ref="A17" r:id="rId12"/>
    <hyperlink xmlns:r="http://schemas.openxmlformats.org/officeDocument/2006/relationships" ref="A21" r:id="rId13"/>
    <hyperlink xmlns:r="http://schemas.openxmlformats.org/officeDocument/2006/relationships" ref="A26" r:id="rId14"/>
    <hyperlink xmlns:r="http://schemas.openxmlformats.org/officeDocument/2006/relationships" ref="A48" r:id="rId15"/>
    <hyperlink xmlns:r="http://schemas.openxmlformats.org/officeDocument/2006/relationships" ref="A60" r:id="rId16"/>
    <hyperlink xmlns:r="http://schemas.openxmlformats.org/officeDocument/2006/relationships" ref="A69" r:id="rId17"/>
    <hyperlink xmlns:r="http://schemas.openxmlformats.org/officeDocument/2006/relationships" ref="A73" r:id="rId18"/>
    <hyperlink xmlns:r="http://schemas.openxmlformats.org/officeDocument/2006/relationships" ref="A87" r:id="rId19"/>
  </hyperlinks>
  <pageMargins left="0.75" right="0.75" top="1" bottom="1" header="0" footer="0"/>
  <pageSetup orientation="landscape"/>
  <tableParts count="1">
    <tablePart xmlns:r="http://schemas.openxmlformats.org/officeDocument/2006/relationships" r:id="rId20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:F33"/>
  <sheetViews>
    <sheetView topLeftCell="A4" zoomScale="118" zoomScaleNormal="164" workbookViewId="0">
      <selection activeCell="B15" sqref="B15"/>
    </sheetView>
  </sheetViews>
  <sheetFormatPr baseColWidth="10" defaultColWidth="14.5" defaultRowHeight="15" customHeight="1"/>
  <cols>
    <col width="14.5" customWidth="1" style="38" min="1" max="1"/>
    <col width="66.83203125" customWidth="1" style="38" min="2" max="2"/>
    <col width="30.83203125" bestFit="1" customWidth="1" style="38" min="3" max="3"/>
    <col width="17.5" customWidth="1" style="38" min="4" max="4"/>
    <col width="18.5" customWidth="1" style="38" min="5" max="5"/>
    <col width="17.33203125" customWidth="1" style="38" min="6" max="6"/>
    <col width="14.5" customWidth="1" style="38" min="7" max="16384"/>
  </cols>
  <sheetData>
    <row r="1" ht="16" customHeight="1" s="16">
      <c r="C1" s="39" t="inlineStr">
        <is>
          <t>Main Cash Flow</t>
        </is>
      </c>
    </row>
    <row r="2" ht="16" customHeight="1" s="16">
      <c r="C2" s="39" t="inlineStr">
        <is>
          <t>Current</t>
        </is>
      </c>
      <c r="D2" s="39" t="inlineStr">
        <is>
          <t>Income</t>
        </is>
      </c>
      <c r="E2" s="39" t="inlineStr">
        <is>
          <t>Expenses</t>
        </is>
      </c>
      <c r="F2" s="39" t="inlineStr">
        <is>
          <t>Projected</t>
        </is>
      </c>
    </row>
    <row r="3" ht="16" customHeight="1" s="16">
      <c r="C3" s="40">
        <f>Accounts!$D5</f>
        <v/>
      </c>
      <c r="D3" s="41">
        <f>SUMPRODUCT((F6:F195=TRUE)*(D6:D195&gt;0)*D6:D195)</f>
        <v/>
      </c>
      <c r="E3" s="42">
        <f>SUMPRODUCT((F6:F195=TRUE)*(D6:D195&lt;0)*D6:D195)</f>
        <v/>
      </c>
      <c r="F3" s="43">
        <f>C3+D3+E3</f>
        <v/>
      </c>
    </row>
    <row r="5" ht="22.5" customHeight="1" s="16">
      <c r="C5" s="25" t="inlineStr">
        <is>
          <t>Description</t>
        </is>
      </c>
      <c r="D5" s="25" t="inlineStr">
        <is>
          <t>Amount</t>
        </is>
      </c>
      <c r="E5" s="25" t="inlineStr">
        <is>
          <t>Due Date</t>
        </is>
      </c>
      <c r="F5" s="25" t="inlineStr">
        <is>
          <t>In Calc?</t>
        </is>
      </c>
    </row>
    <row r="6" ht="22.5" customHeight="1" s="16">
      <c r="C6" s="44" t="inlineStr">
        <is>
          <t>Amazon.com 05/15/2026</t>
        </is>
      </c>
      <c r="D6" s="23" t="n">
        <v>-21.16</v>
      </c>
      <c r="F6" s="24" t="b">
        <v>0</v>
      </c>
    </row>
    <row r="7" ht="22.5" customHeight="1" s="16">
      <c r="C7" s="38" t="inlineStr">
        <is>
          <t>AMAZON MKTPLACE PMTS 05/14/2026</t>
        </is>
      </c>
      <c r="D7" s="23" t="n">
        <v>-81.7</v>
      </c>
      <c r="F7" s="24" t="b">
        <v>1</v>
      </c>
    </row>
    <row r="8" ht="22.5" customHeight="1" s="16">
      <c r="C8" s="38" t="inlineStr">
        <is>
          <t>RICE AND SPICE 05/14/2026</t>
        </is>
      </c>
      <c r="D8" s="23" t="n">
        <v>-18.3</v>
      </c>
      <c r="F8" s="24" t="b">
        <v>1</v>
      </c>
    </row>
    <row r="9" ht="22.5" customHeight="1" s="16">
      <c r="C9" s="38" t="inlineStr">
        <is>
          <t>AMAZON MKTPLACE PMTS 05/14/2026</t>
        </is>
      </c>
      <c r="D9" s="23" t="n">
        <v>-128.52</v>
      </c>
      <c r="F9" s="24" t="b">
        <v>0</v>
      </c>
    </row>
    <row r="10" ht="22.5" customHeight="1" s="16">
      <c r="C10" s="38" t="inlineStr">
        <is>
          <t>AMAZON MKTPLACE PMTS 05/14/2026</t>
        </is>
      </c>
      <c r="D10" s="23" t="n">
        <v>-85.2</v>
      </c>
      <c r="F10" s="24" t="b">
        <v>0</v>
      </c>
    </row>
    <row r="11" ht="22.5" customHeight="1" s="16">
      <c r="C11" s="38" t="inlineStr">
        <is>
          <t>AMAZON MKTPLACE PMTS 05/14/2026</t>
        </is>
      </c>
      <c r="D11" s="23" t="n">
        <v>-45.36</v>
      </c>
      <c r="F11" s="24" t="b">
        <v>0</v>
      </c>
    </row>
    <row r="12" ht="22.5" customHeight="1" s="16">
      <c r="C12" s="38" t="inlineStr">
        <is>
          <t>WEX reimbursement</t>
        </is>
      </c>
      <c r="D12" s="23" t="n">
        <v>45.36</v>
      </c>
      <c r="F12" s="24" t="b">
        <v>0</v>
      </c>
    </row>
    <row r="13" ht="22.5" customHeight="1" s="16">
      <c r="C13" s="38" t="inlineStr">
        <is>
          <t>WEX reimbursement</t>
        </is>
      </c>
      <c r="D13" s="23" t="n">
        <v>85.2</v>
      </c>
      <c r="E13" s="32" t="n"/>
      <c r="F13" s="24" t="b">
        <v>0</v>
      </c>
    </row>
    <row r="14" ht="22.5" customHeight="1" s="16">
      <c r="C14" s="38" t="inlineStr">
        <is>
          <t>WEX reimbursement</t>
        </is>
      </c>
      <c r="D14" s="23" t="n">
        <v>21.16</v>
      </c>
      <c r="E14" s="32" t="n"/>
      <c r="F14" s="24" t="b">
        <v>0</v>
      </c>
    </row>
    <row r="15" ht="22.5" customHeight="1" s="16">
      <c r="C15" s="38" t="inlineStr">
        <is>
          <t>WEX reimbursement</t>
        </is>
      </c>
      <c r="D15" s="23" t="n">
        <v>128.52</v>
      </c>
      <c r="E15" s="32" t="n"/>
      <c r="F15" s="24" t="b">
        <v>0</v>
      </c>
    </row>
    <row r="16" ht="22.5" customHeight="1" s="16">
      <c r="D16" s="23" t="n"/>
      <c r="E16" s="32" t="n"/>
      <c r="F16" s="24" t="b">
        <v>0</v>
      </c>
    </row>
    <row r="17" ht="22.5" customHeight="1" s="16">
      <c r="D17" s="23" t="n"/>
      <c r="E17" s="32" t="n"/>
      <c r="F17" s="24" t="b">
        <v>0</v>
      </c>
    </row>
    <row r="18" ht="22.5" customHeight="1" s="16">
      <c r="D18" s="23" t="n"/>
      <c r="E18" s="32" t="n"/>
      <c r="F18" s="24" t="b">
        <v>0</v>
      </c>
    </row>
    <row r="19" ht="22.5" customHeight="1" s="16">
      <c r="D19" s="23" t="n"/>
      <c r="E19" s="32" t="n"/>
      <c r="F19" s="24" t="b">
        <v>0</v>
      </c>
    </row>
    <row r="20" ht="22.5" customHeight="1" s="16">
      <c r="D20" s="23" t="n"/>
      <c r="E20" s="32" t="n"/>
      <c r="F20" s="24" t="b">
        <v>0</v>
      </c>
    </row>
    <row r="21" ht="22.5" customHeight="1" s="16">
      <c r="D21" s="23" t="n"/>
      <c r="E21" s="32" t="n"/>
      <c r="F21" s="24" t="b">
        <v>0</v>
      </c>
    </row>
    <row r="22" ht="22.5" customHeight="1" s="16">
      <c r="D22" s="23" t="n"/>
      <c r="E22" s="32" t="n"/>
      <c r="F22" s="24" t="b">
        <v>0</v>
      </c>
    </row>
    <row r="23" ht="22.5" customHeight="1" s="16">
      <c r="D23" s="23" t="n"/>
      <c r="E23" s="32" t="n"/>
      <c r="F23" s="24" t="b">
        <v>0</v>
      </c>
    </row>
    <row r="24" ht="22.5" customHeight="1" s="16">
      <c r="D24" s="23" t="n"/>
      <c r="E24" s="32" t="n"/>
      <c r="F24" s="24" t="b">
        <v>0</v>
      </c>
    </row>
    <row r="25" ht="22.5" customHeight="1" s="16">
      <c r="D25" s="23" t="n"/>
      <c r="E25" s="32" t="n"/>
      <c r="F25" s="24" t="b">
        <v>0</v>
      </c>
    </row>
    <row r="26" ht="22.5" customHeight="1" s="16">
      <c r="D26" s="23" t="n"/>
      <c r="E26" s="32" t="n"/>
      <c r="F26" s="24" t="b">
        <v>0</v>
      </c>
    </row>
    <row r="27" ht="22.5" customHeight="1" s="16">
      <c r="D27" s="23" t="n"/>
      <c r="E27" s="32" t="n"/>
      <c r="F27" s="24" t="b">
        <v>0</v>
      </c>
    </row>
    <row r="28" ht="22.5" customHeight="1" s="16">
      <c r="D28" s="23" t="n"/>
      <c r="E28" s="32" t="n"/>
      <c r="F28" s="24" t="b">
        <v>0</v>
      </c>
    </row>
    <row r="29" ht="22.5" customHeight="1" s="16">
      <c r="D29" s="23" t="n"/>
      <c r="E29" s="32" t="n"/>
      <c r="F29" s="24" t="b">
        <v>0</v>
      </c>
    </row>
    <row r="30" ht="22.5" customHeight="1" s="16">
      <c r="D30" s="23" t="n"/>
      <c r="E30" s="32" t="n"/>
      <c r="F30" s="24" t="b">
        <v>0</v>
      </c>
    </row>
    <row r="31" ht="22.5" customHeight="1" s="16">
      <c r="D31" s="23" t="n"/>
      <c r="E31" s="32" t="n"/>
      <c r="F31" s="24" t="b">
        <v>0</v>
      </c>
    </row>
    <row r="32" ht="22.5" customHeight="1" s="16">
      <c r="D32" s="23" t="n"/>
      <c r="E32" s="32" t="n"/>
      <c r="F32" s="24" t="b">
        <v>0</v>
      </c>
    </row>
    <row r="33" ht="22.5" customHeight="1" s="16">
      <c r="D33" s="23" t="n"/>
      <c r="E33" s="32" t="n"/>
      <c r="F33" s="24" t="b">
        <v>0</v>
      </c>
    </row>
    <row r="34" ht="22.5" customHeight="1" s="16"/>
    <row r="35" ht="22.5" customHeight="1" s="16"/>
    <row r="36" ht="22.5" customHeight="1" s="16"/>
    <row r="37" ht="22.5" customHeight="1" s="16"/>
    <row r="38" ht="22.5" customHeight="1" s="16"/>
  </sheetData>
  <mergeCells count="1">
    <mergeCell ref="C1:F1"/>
  </mergeCells>
  <conditionalFormatting sqref="C6:D12 C13:F33 F6:F12">
    <cfRule type="expression" priority="1" dxfId="35">
      <formula>$F6=TRUE</formula>
    </cfRule>
  </conditionalFormatting>
  <dataValidations disablePrompts="1" count="3">
    <dataValidation sqref="D6:D33" showDropDown="1" showInputMessage="0" showErrorMessage="0" allowBlank="1" type="custom">
      <formula1>AND(ISNUMBER(D6),(NOT(OR(NOT(ISERROR(DATEVALUE(D6))), AND(ISNUMBER(D6), LEFT(CELL("format", D6))="D")))))</formula1>
    </dataValidation>
    <dataValidation sqref="F6:F33" showDropDown="0" showInputMessage="1" showErrorMessage="1" allowBlank="1" type="list">
      <formula1>"TRUE, FALSE"</formula1>
    </dataValidation>
    <dataValidation sqref="E13:E33" showDropDown="1" showInputMessage="0" showErrorMessage="0" allowBlank="1" type="custom">
      <formula1>OR(NOT(ISERROR(DATEVALUE(E13))), AND(ISNUMBER(E13), LEFT(CELL("format", E13))="D"))</formula1>
    </dataValidation>
  </dataValidation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1:F33"/>
  <sheetViews>
    <sheetView zoomScale="150" workbookViewId="0">
      <selection activeCell="B8" sqref="B8"/>
    </sheetView>
  </sheetViews>
  <sheetFormatPr baseColWidth="10" defaultColWidth="14.5" defaultRowHeight="15" customHeight="1"/>
  <cols>
    <col width="14.5" customWidth="1" style="38" min="1" max="2"/>
    <col width="30" customWidth="1" style="38" min="3" max="3"/>
    <col width="15" customWidth="1" style="38" min="4" max="4"/>
    <col width="14.6640625" customWidth="1" style="38" min="5" max="5"/>
    <col width="17.5" customWidth="1" style="38" min="6" max="6"/>
    <col width="8.6640625" customWidth="1" style="38" min="7" max="28"/>
    <col width="14.5" customWidth="1" style="38" min="29" max="16384"/>
  </cols>
  <sheetData>
    <row r="1" ht="16" customHeight="1" s="16">
      <c r="C1" s="39" t="inlineStr">
        <is>
          <t>Credit Card - CMW (3619)</t>
        </is>
      </c>
    </row>
    <row r="2" ht="16" customHeight="1" s="16">
      <c r="C2" s="39" t="inlineStr">
        <is>
          <t>Balance Owed</t>
        </is>
      </c>
      <c r="D2" s="39" t="inlineStr">
        <is>
          <t>Charges</t>
        </is>
      </c>
      <c r="E2" s="39" t="inlineStr">
        <is>
          <t>Payments</t>
        </is>
      </c>
      <c r="F2" s="39" t="inlineStr">
        <is>
          <t>Projected</t>
        </is>
      </c>
    </row>
    <row r="3" ht="16" customHeight="1" s="16">
      <c r="C3" s="42">
        <f>Accounts!B12</f>
        <v/>
      </c>
      <c r="D3" s="42">
        <f>SUMPRODUCT((F6:F200=TRUE)*(D6:D200&lt;0)*D6:D200)</f>
        <v/>
      </c>
      <c r="E3" s="41">
        <f>SUMPRODUCT((F6:F200=TRUE)*(D6:D200&gt;0)*D6:D200)</f>
        <v/>
      </c>
      <c r="F3" s="43">
        <f>C3+D3+E3</f>
        <v/>
      </c>
    </row>
    <row r="5" ht="22.5" customHeight="1" s="16">
      <c r="C5" s="25" t="inlineStr">
        <is>
          <t>Description</t>
        </is>
      </c>
      <c r="D5" s="25" t="inlineStr">
        <is>
          <t>Amount</t>
        </is>
      </c>
      <c r="E5" s="25" t="inlineStr">
        <is>
          <t>Due Date</t>
        </is>
      </c>
      <c r="F5" s="25" t="inlineStr">
        <is>
          <t>In Calc?</t>
        </is>
      </c>
    </row>
    <row r="6" ht="22.5" customHeight="1" s="16">
      <c r="C6" s="44" t="n"/>
      <c r="D6" s="44" t="n"/>
      <c r="F6" s="44" t="b">
        <v>0</v>
      </c>
    </row>
    <row r="7" ht="22.5" customHeight="1" s="16">
      <c r="F7" s="44" t="b">
        <v>0</v>
      </c>
    </row>
    <row r="8" ht="22.5" customHeight="1" s="16">
      <c r="F8" s="44" t="b">
        <v>0</v>
      </c>
    </row>
    <row r="9" ht="22.5" customHeight="1" s="16">
      <c r="C9" s="45" t="n"/>
      <c r="F9" s="44" t="b">
        <v>0</v>
      </c>
    </row>
    <row r="10" ht="22.5" customHeight="1" s="16">
      <c r="F10" s="44" t="b">
        <v>0</v>
      </c>
    </row>
    <row r="11" ht="22.5" customHeight="1" s="16">
      <c r="F11" s="44" t="b">
        <v>0</v>
      </c>
    </row>
    <row r="12" ht="22.5" customHeight="1" s="16">
      <c r="F12" s="44" t="b">
        <v>0</v>
      </c>
    </row>
    <row r="13" ht="22.5" customHeight="1" s="16">
      <c r="F13" s="44" t="b">
        <v>0</v>
      </c>
    </row>
    <row r="14" ht="22.5" customHeight="1" s="16">
      <c r="F14" s="44" t="b">
        <v>0</v>
      </c>
    </row>
    <row r="15" ht="22.5" customHeight="1" s="16">
      <c r="F15" s="44" t="b">
        <v>0</v>
      </c>
    </row>
    <row r="16" ht="22.5" customHeight="1" s="16">
      <c r="F16" s="44" t="b">
        <v>0</v>
      </c>
    </row>
    <row r="17" ht="22.5" customHeight="1" s="16">
      <c r="F17" s="44" t="b">
        <v>0</v>
      </c>
    </row>
    <row r="18" ht="22.5" customHeight="1" s="16">
      <c r="F18" s="44" t="b">
        <v>0</v>
      </c>
    </row>
    <row r="19" ht="22.5" customHeight="1" s="16">
      <c r="F19" s="44" t="b">
        <v>0</v>
      </c>
    </row>
    <row r="20" ht="22.5" customHeight="1" s="16">
      <c r="F20" s="44" t="b">
        <v>0</v>
      </c>
    </row>
    <row r="21" ht="15.75" customHeight="1" s="16">
      <c r="F21" s="44" t="b">
        <v>0</v>
      </c>
    </row>
    <row r="22" ht="15.75" customHeight="1" s="16">
      <c r="F22" s="44" t="b">
        <v>0</v>
      </c>
    </row>
    <row r="23" ht="15.75" customHeight="1" s="16">
      <c r="F23" s="44" t="b">
        <v>0</v>
      </c>
    </row>
    <row r="24" ht="15.75" customHeight="1" s="16">
      <c r="F24" s="44" t="b">
        <v>0</v>
      </c>
    </row>
    <row r="25" ht="15.75" customHeight="1" s="16">
      <c r="F25" s="44" t="b">
        <v>0</v>
      </c>
    </row>
    <row r="26" ht="15.75" customHeight="1" s="16">
      <c r="F26" s="44" t="b">
        <v>0</v>
      </c>
    </row>
    <row r="27" ht="15.75" customHeight="1" s="16">
      <c r="F27" s="44" t="b">
        <v>0</v>
      </c>
    </row>
    <row r="28" ht="15.75" customHeight="1" s="16">
      <c r="F28" s="44" t="b">
        <v>0</v>
      </c>
    </row>
    <row r="29" ht="15.75" customHeight="1" s="16">
      <c r="F29" s="44" t="b">
        <v>0</v>
      </c>
    </row>
    <row r="30" ht="15.75" customHeight="1" s="16">
      <c r="F30" s="44" t="b">
        <v>0</v>
      </c>
    </row>
    <row r="31" ht="15.75" customHeight="1" s="16">
      <c r="F31" s="44" t="b">
        <v>0</v>
      </c>
    </row>
    <row r="32" ht="15.75" customHeight="1" s="16">
      <c r="F32" s="44" t="b">
        <v>0</v>
      </c>
    </row>
    <row r="33" ht="15.75" customHeight="1" s="16">
      <c r="F33" s="44" t="b">
        <v>0</v>
      </c>
    </row>
    <row r="34" ht="15.75" customHeight="1" s="16"/>
    <row r="35" ht="15.75" customHeight="1" s="16"/>
    <row r="36" ht="15.75" customHeight="1" s="16"/>
    <row r="37" ht="15.75" customHeight="1" s="16"/>
    <row r="38" ht="15.75" customHeight="1" s="16"/>
    <row r="39" ht="15.75" customHeight="1" s="16"/>
    <row r="40" ht="15.75" customHeight="1" s="16"/>
    <row r="41" ht="15.75" customHeight="1" s="16"/>
    <row r="42" ht="15.75" customHeight="1" s="16"/>
    <row r="43" ht="15.75" customHeight="1" s="16"/>
    <row r="44" ht="15.75" customHeight="1" s="16"/>
    <row r="45" ht="15.75" customHeight="1" s="16"/>
    <row r="46" ht="15.75" customHeight="1" s="16"/>
    <row r="47" ht="15.75" customHeight="1" s="16"/>
    <row r="48" ht="15.75" customHeight="1" s="16"/>
    <row r="49" ht="15.75" customFormat="1" customHeight="1" s="38"/>
    <row r="50" ht="15.75" customFormat="1" customHeight="1" s="38"/>
    <row r="51" ht="15.75" customFormat="1" customHeight="1" s="38"/>
    <row r="52" ht="15.75" customFormat="1" customHeight="1" s="38"/>
    <row r="53" ht="15.75" customFormat="1" customHeight="1" s="38"/>
    <row r="54" ht="15.75" customFormat="1" customHeight="1" s="38"/>
    <row r="55" ht="15.75" customFormat="1" customHeight="1" s="38"/>
    <row r="56" ht="15.75" customFormat="1" customHeight="1" s="38"/>
    <row r="57" ht="15.75" customFormat="1" customHeight="1" s="38"/>
    <row r="58" ht="15.75" customFormat="1" customHeight="1" s="38"/>
    <row r="59" ht="15.75" customFormat="1" customHeight="1" s="38"/>
    <row r="60" ht="15.75" customFormat="1" customHeight="1" s="38"/>
    <row r="61" ht="15.75" customFormat="1" customHeight="1" s="38"/>
    <row r="62" ht="15.75" customFormat="1" customHeight="1" s="38"/>
    <row r="63" ht="15.75" customFormat="1" customHeight="1" s="38"/>
    <row r="64" ht="15.75" customFormat="1" customHeight="1" s="38"/>
    <row r="65" ht="15.75" customFormat="1" customHeight="1" s="38"/>
    <row r="66" ht="15.75" customFormat="1" customHeight="1" s="38"/>
    <row r="67" ht="15.75" customFormat="1" customHeight="1" s="38"/>
    <row r="68" ht="15.75" customFormat="1" customHeight="1" s="38"/>
    <row r="69" ht="15.75" customFormat="1" customHeight="1" s="38"/>
    <row r="70" ht="15.75" customFormat="1" customHeight="1" s="38"/>
    <row r="71" ht="15.75" customFormat="1" customHeight="1" s="38"/>
    <row r="72" ht="15.75" customFormat="1" customHeight="1" s="38"/>
    <row r="73" ht="15.75" customFormat="1" customHeight="1" s="38"/>
    <row r="74" ht="15.75" customFormat="1" customHeight="1" s="38"/>
    <row r="75" ht="15.75" customFormat="1" customHeight="1" s="38"/>
    <row r="76" ht="15.75" customFormat="1" customHeight="1" s="38"/>
    <row r="77" ht="15.75" customFormat="1" customHeight="1" s="38"/>
    <row r="78" ht="15.75" customFormat="1" customHeight="1" s="38"/>
    <row r="79" ht="15.75" customFormat="1" customHeight="1" s="38"/>
    <row r="80" ht="15.75" customFormat="1" customHeight="1" s="38"/>
    <row r="81" ht="15.75" customFormat="1" customHeight="1" s="38"/>
    <row r="82" ht="15.75" customFormat="1" customHeight="1" s="38"/>
    <row r="83" ht="15.75" customFormat="1" customHeight="1" s="38"/>
    <row r="84" ht="15.75" customFormat="1" customHeight="1" s="38"/>
    <row r="85" ht="15.75" customFormat="1" customHeight="1" s="38"/>
    <row r="86" ht="15.75" customFormat="1" customHeight="1" s="38"/>
    <row r="87" ht="15.75" customFormat="1" customHeight="1" s="38"/>
    <row r="88" ht="15.75" customFormat="1" customHeight="1" s="38"/>
    <row r="89" ht="15.75" customFormat="1" customHeight="1" s="38"/>
    <row r="90" ht="15.75" customFormat="1" customHeight="1" s="38"/>
    <row r="91" ht="15.75" customFormat="1" customHeight="1" s="38"/>
    <row r="92" ht="15.75" customFormat="1" customHeight="1" s="38"/>
    <row r="93" ht="15.75" customFormat="1" customHeight="1" s="38"/>
    <row r="94" ht="15.75" customFormat="1" customHeight="1" s="38"/>
    <row r="95" ht="15.75" customFormat="1" customHeight="1" s="38"/>
    <row r="96" ht="15.75" customFormat="1" customHeight="1" s="38"/>
    <row r="97" ht="15.75" customFormat="1" customHeight="1" s="38"/>
    <row r="98" ht="15.75" customFormat="1" customHeight="1" s="38"/>
    <row r="99" ht="15.75" customFormat="1" customHeight="1" s="38"/>
    <row r="100" ht="15.75" customFormat="1" customHeight="1" s="38"/>
    <row r="101" ht="15.75" customFormat="1" customHeight="1" s="38"/>
    <row r="102" ht="15.75" customFormat="1" customHeight="1" s="38"/>
    <row r="103" ht="15.75" customFormat="1" customHeight="1" s="38"/>
    <row r="104" ht="15.75" customFormat="1" customHeight="1" s="38"/>
    <row r="105" ht="15.75" customFormat="1" customHeight="1" s="38"/>
    <row r="106" ht="15.75" customFormat="1" customHeight="1" s="38"/>
    <row r="107" ht="15.75" customFormat="1" customHeight="1" s="38"/>
    <row r="108" ht="15.75" customFormat="1" customHeight="1" s="38"/>
    <row r="109" ht="15.75" customFormat="1" customHeight="1" s="38"/>
    <row r="110" ht="15.75" customFormat="1" customHeight="1" s="38"/>
    <row r="111" ht="15.75" customFormat="1" customHeight="1" s="38"/>
    <row r="112" ht="15.75" customFormat="1" customHeight="1" s="38"/>
    <row r="113" ht="15.75" customFormat="1" customHeight="1" s="38"/>
    <row r="114" ht="15.75" customFormat="1" customHeight="1" s="38"/>
    <row r="115" ht="15.75" customFormat="1" customHeight="1" s="38"/>
    <row r="116" ht="15.75" customFormat="1" customHeight="1" s="38"/>
    <row r="117" ht="15.75" customFormat="1" customHeight="1" s="38"/>
    <row r="118" ht="15.75" customFormat="1" customHeight="1" s="38"/>
    <row r="119" ht="15.75" customFormat="1" customHeight="1" s="38"/>
    <row r="120" ht="15.75" customFormat="1" customHeight="1" s="38"/>
    <row r="121" ht="15.75" customFormat="1" customHeight="1" s="38"/>
    <row r="122" ht="15.75" customFormat="1" customHeight="1" s="38"/>
    <row r="123" ht="15.75" customFormat="1" customHeight="1" s="38"/>
    <row r="124" ht="15.75" customFormat="1" customHeight="1" s="38"/>
    <row r="125" ht="15.75" customFormat="1" customHeight="1" s="38"/>
    <row r="126" ht="15.75" customFormat="1" customHeight="1" s="38"/>
    <row r="127" ht="15.75" customFormat="1" customHeight="1" s="38"/>
    <row r="128" ht="15.75" customFormat="1" customHeight="1" s="38"/>
    <row r="129" ht="15.75" customFormat="1" customHeight="1" s="38"/>
    <row r="130" ht="15.75" customFormat="1" customHeight="1" s="38"/>
    <row r="131" ht="15.75" customFormat="1" customHeight="1" s="38"/>
    <row r="132" ht="15.75" customFormat="1" customHeight="1" s="38"/>
    <row r="133" ht="15.75" customFormat="1" customHeight="1" s="38"/>
    <row r="134" ht="15.75" customFormat="1" customHeight="1" s="38"/>
    <row r="135" ht="15.75" customFormat="1" customHeight="1" s="38"/>
    <row r="136" ht="15.75" customFormat="1" customHeight="1" s="38"/>
    <row r="137" ht="15.75" customFormat="1" customHeight="1" s="38"/>
    <row r="138" ht="15.75" customFormat="1" customHeight="1" s="38"/>
    <row r="139" ht="15.75" customFormat="1" customHeight="1" s="38"/>
    <row r="140" ht="15.75" customFormat="1" customHeight="1" s="38"/>
    <row r="141" ht="15.75" customFormat="1" customHeight="1" s="38"/>
    <row r="142" ht="15.75" customFormat="1" customHeight="1" s="38"/>
    <row r="143" ht="15.75" customFormat="1" customHeight="1" s="38"/>
    <row r="144" ht="15.75" customFormat="1" customHeight="1" s="38"/>
    <row r="145" ht="15.75" customFormat="1" customHeight="1" s="38"/>
    <row r="146" ht="15.75" customFormat="1" customHeight="1" s="38"/>
    <row r="147" ht="15.75" customFormat="1" customHeight="1" s="38"/>
    <row r="148" ht="15.75" customFormat="1" customHeight="1" s="38"/>
    <row r="149" ht="15.75" customFormat="1" customHeight="1" s="38"/>
    <row r="150" ht="15.75" customFormat="1" customHeight="1" s="38"/>
    <row r="151" ht="15.75" customFormat="1" customHeight="1" s="38"/>
    <row r="152" ht="15.75" customFormat="1" customHeight="1" s="38"/>
    <row r="153" ht="15.75" customFormat="1" customHeight="1" s="38"/>
    <row r="154" ht="15.75" customFormat="1" customHeight="1" s="38"/>
    <row r="155" ht="15.75" customFormat="1" customHeight="1" s="38"/>
    <row r="156" ht="15.75" customFormat="1" customHeight="1" s="38"/>
    <row r="157" ht="15.75" customFormat="1" customHeight="1" s="38"/>
    <row r="158" ht="15.75" customFormat="1" customHeight="1" s="38"/>
    <row r="159" ht="15.75" customFormat="1" customHeight="1" s="38"/>
    <row r="160" ht="15.75" customFormat="1" customHeight="1" s="38"/>
    <row r="161" ht="15.75" customFormat="1" customHeight="1" s="38"/>
    <row r="162" ht="15.75" customFormat="1" customHeight="1" s="38"/>
    <row r="163" ht="15.75" customFormat="1" customHeight="1" s="38"/>
    <row r="164" ht="15.75" customFormat="1" customHeight="1" s="38"/>
    <row r="165" ht="15.75" customFormat="1" customHeight="1" s="38"/>
    <row r="166" ht="15.75" customFormat="1" customHeight="1" s="38"/>
    <row r="167" ht="15.75" customFormat="1" customHeight="1" s="38"/>
    <row r="168" ht="15.75" customFormat="1" customHeight="1" s="38"/>
    <row r="169" ht="15.75" customFormat="1" customHeight="1" s="38"/>
    <row r="170" ht="15.75" customFormat="1" customHeight="1" s="38"/>
    <row r="171" ht="15.75" customFormat="1" customHeight="1" s="38"/>
    <row r="172" ht="15.75" customFormat="1" customHeight="1" s="38"/>
    <row r="173" ht="15.75" customFormat="1" customHeight="1" s="38"/>
    <row r="174" ht="15.75" customFormat="1" customHeight="1" s="38"/>
    <row r="175" ht="15.75" customFormat="1" customHeight="1" s="38"/>
    <row r="176" ht="15.75" customFormat="1" customHeight="1" s="38"/>
    <row r="177" ht="15.75" customFormat="1" customHeight="1" s="38"/>
    <row r="178" ht="15.75" customFormat="1" customHeight="1" s="38"/>
    <row r="179" ht="15.75" customFormat="1" customHeight="1" s="38"/>
    <row r="180" ht="15.75" customFormat="1" customHeight="1" s="38"/>
    <row r="181" ht="15.75" customFormat="1" customHeight="1" s="38"/>
    <row r="182" ht="15.75" customFormat="1" customHeight="1" s="38"/>
    <row r="183" ht="15.75" customFormat="1" customHeight="1" s="38"/>
    <row r="184" ht="15.75" customFormat="1" customHeight="1" s="38"/>
    <row r="185" ht="15.75" customFormat="1" customHeight="1" s="38"/>
    <row r="186" ht="15.75" customFormat="1" customHeight="1" s="38"/>
    <row r="187" ht="15.75" customFormat="1" customHeight="1" s="38"/>
    <row r="188" ht="15.75" customFormat="1" customHeight="1" s="38"/>
    <row r="189" ht="15.75" customFormat="1" customHeight="1" s="38"/>
    <row r="190" ht="15.75" customFormat="1" customHeight="1" s="38"/>
    <row r="191" ht="15.75" customFormat="1" customHeight="1" s="38"/>
    <row r="192" ht="15.75" customFormat="1" customHeight="1" s="38"/>
    <row r="193" ht="15.75" customFormat="1" customHeight="1" s="38"/>
    <row r="194" ht="15.75" customFormat="1" customHeight="1" s="38"/>
    <row r="195" ht="15.75" customFormat="1" customHeight="1" s="38"/>
    <row r="196" ht="15.75" customFormat="1" customHeight="1" s="38"/>
    <row r="197" ht="15.75" customFormat="1" customHeight="1" s="38"/>
    <row r="198" ht="15.75" customFormat="1" customHeight="1" s="38"/>
    <row r="199" ht="15.75" customFormat="1" customHeight="1" s="38"/>
    <row r="200" ht="15.75" customFormat="1" customHeight="1" s="38"/>
    <row r="201" ht="15.75" customFormat="1" customHeight="1" s="38"/>
    <row r="202" ht="15.75" customFormat="1" customHeight="1" s="38"/>
    <row r="203" ht="15.75" customFormat="1" customHeight="1" s="38"/>
    <row r="204" ht="15.75" customFormat="1" customHeight="1" s="38"/>
    <row r="205" ht="15.75" customFormat="1" customHeight="1" s="38"/>
    <row r="206" ht="15.75" customFormat="1" customHeight="1" s="38"/>
    <row r="207" ht="15.75" customFormat="1" customHeight="1" s="38"/>
    <row r="208" ht="15.75" customFormat="1" customHeight="1" s="38"/>
    <row r="209" ht="15.75" customFormat="1" customHeight="1" s="38"/>
    <row r="210" ht="15.75" customFormat="1" customHeight="1" s="38"/>
    <row r="211" ht="15.75" customFormat="1" customHeight="1" s="38"/>
    <row r="212" ht="15.75" customFormat="1" customHeight="1" s="38"/>
    <row r="213" ht="15.75" customFormat="1" customHeight="1" s="38"/>
    <row r="214" ht="15.75" customFormat="1" customHeight="1" s="38"/>
    <row r="215" ht="15.75" customFormat="1" customHeight="1" s="38"/>
    <row r="216" ht="15.75" customFormat="1" customHeight="1" s="38"/>
    <row r="217" ht="15.75" customFormat="1" customHeight="1" s="38"/>
    <row r="218" ht="15.75" customFormat="1" customHeight="1" s="38"/>
    <row r="219" ht="15.75" customFormat="1" customHeight="1" s="38"/>
    <row r="220" ht="15.75" customFormat="1" customHeight="1" s="38"/>
    <row r="221" ht="15.75" customFormat="1" customHeight="1" s="38"/>
    <row r="222" ht="15.75" customFormat="1" customHeight="1" s="38"/>
    <row r="223" ht="15.75" customFormat="1" customHeight="1" s="38"/>
    <row r="224" ht="15.75" customFormat="1" customHeight="1" s="38"/>
    <row r="225" ht="15.75" customFormat="1" customHeight="1" s="38"/>
    <row r="226" ht="15.75" customFormat="1" customHeight="1" s="38"/>
    <row r="227" ht="15.75" customFormat="1" customHeight="1" s="38"/>
    <row r="228" ht="15.75" customFormat="1" customHeight="1" s="38"/>
    <row r="229" ht="15.75" customFormat="1" customHeight="1" s="38"/>
    <row r="230" ht="15.75" customFormat="1" customHeight="1" s="38"/>
    <row r="231" ht="15.75" customFormat="1" customHeight="1" s="38"/>
    <row r="232" ht="15.75" customFormat="1" customHeight="1" s="38"/>
    <row r="233" ht="15.75" customFormat="1" customHeight="1" s="38"/>
    <row r="234" ht="15.75" customFormat="1" customHeight="1" s="38"/>
    <row r="235" ht="15.75" customFormat="1" customHeight="1" s="38"/>
    <row r="236" ht="15.75" customFormat="1" customHeight="1" s="38"/>
    <row r="237" ht="15.75" customFormat="1" customHeight="1" s="38"/>
    <row r="238" ht="15.75" customFormat="1" customHeight="1" s="38"/>
    <row r="239" ht="15.75" customFormat="1" customHeight="1" s="38"/>
    <row r="240" ht="15.75" customFormat="1" customHeight="1" s="38"/>
    <row r="241" ht="15.75" customFormat="1" customHeight="1" s="38"/>
    <row r="242" ht="15.75" customFormat="1" customHeight="1" s="38"/>
    <row r="243" ht="15.75" customFormat="1" customHeight="1" s="38"/>
    <row r="244" ht="15.75" customFormat="1" customHeight="1" s="38"/>
    <row r="245" ht="15.75" customFormat="1" customHeight="1" s="38"/>
    <row r="246" ht="15.75" customFormat="1" customHeight="1" s="38"/>
    <row r="247" ht="15.75" customFormat="1" customHeight="1" s="38"/>
    <row r="248" ht="15.75" customFormat="1" customHeight="1" s="38"/>
    <row r="249" ht="15.75" customFormat="1" customHeight="1" s="38"/>
    <row r="250" ht="15.75" customFormat="1" customHeight="1" s="38"/>
    <row r="251" ht="15.75" customFormat="1" customHeight="1" s="38"/>
    <row r="252" ht="15.75" customFormat="1" customHeight="1" s="38"/>
    <row r="253" ht="15.75" customFormat="1" customHeight="1" s="38"/>
    <row r="254" ht="15.75" customFormat="1" customHeight="1" s="38"/>
    <row r="255" ht="15.75" customFormat="1" customHeight="1" s="38"/>
    <row r="256" ht="15.75" customFormat="1" customHeight="1" s="38"/>
    <row r="257" ht="15.75" customFormat="1" customHeight="1" s="38"/>
    <row r="258" ht="15.75" customFormat="1" customHeight="1" s="38"/>
    <row r="259" ht="15.75" customFormat="1" customHeight="1" s="38"/>
    <row r="260" ht="15.75" customFormat="1" customHeight="1" s="38"/>
    <row r="261" ht="15.75" customFormat="1" customHeight="1" s="38"/>
    <row r="262" ht="15.75" customFormat="1" customHeight="1" s="38"/>
    <row r="263" ht="15.75" customFormat="1" customHeight="1" s="38"/>
    <row r="264" ht="15.75" customFormat="1" customHeight="1" s="38"/>
    <row r="265" ht="15.75" customFormat="1" customHeight="1" s="38"/>
    <row r="266" ht="15.75" customFormat="1" customHeight="1" s="38"/>
    <row r="267" ht="15.75" customFormat="1" customHeight="1" s="38"/>
    <row r="268" ht="15.75" customFormat="1" customHeight="1" s="38"/>
    <row r="269" ht="15.75" customFormat="1" customHeight="1" s="38"/>
    <row r="270" ht="15.75" customFormat="1" customHeight="1" s="38"/>
    <row r="271" ht="15.75" customFormat="1" customHeight="1" s="38"/>
    <row r="272" ht="15.75" customFormat="1" customHeight="1" s="38"/>
    <row r="273" ht="15.75" customFormat="1" customHeight="1" s="38"/>
    <row r="274" ht="15.75" customFormat="1" customHeight="1" s="38"/>
    <row r="275" ht="15.75" customFormat="1" customHeight="1" s="38"/>
    <row r="276" ht="15.75" customFormat="1" customHeight="1" s="38"/>
    <row r="277" ht="15.75" customFormat="1" customHeight="1" s="38"/>
    <row r="278" ht="15.75" customFormat="1" customHeight="1" s="38"/>
    <row r="279" ht="15.75" customFormat="1" customHeight="1" s="38"/>
    <row r="280" ht="15.75" customFormat="1" customHeight="1" s="38"/>
    <row r="281" ht="15.75" customFormat="1" customHeight="1" s="38"/>
    <row r="282" ht="15.75" customFormat="1" customHeight="1" s="38"/>
    <row r="283" ht="15.75" customFormat="1" customHeight="1" s="38"/>
    <row r="284" ht="15.75" customFormat="1" customHeight="1" s="38"/>
    <row r="285" ht="15.75" customFormat="1" customHeight="1" s="38"/>
    <row r="286" ht="15.75" customFormat="1" customHeight="1" s="38"/>
    <row r="287" ht="15.75" customFormat="1" customHeight="1" s="38"/>
    <row r="288" ht="15.75" customFormat="1" customHeight="1" s="38"/>
    <row r="289" ht="15.75" customFormat="1" customHeight="1" s="38"/>
    <row r="290" ht="15.75" customFormat="1" customHeight="1" s="38"/>
    <row r="291" ht="15.75" customFormat="1" customHeight="1" s="38"/>
    <row r="292" ht="15.75" customFormat="1" customHeight="1" s="38"/>
    <row r="293" ht="15.75" customFormat="1" customHeight="1" s="38"/>
    <row r="294" ht="15.75" customFormat="1" customHeight="1" s="38"/>
    <row r="295" ht="15.75" customFormat="1" customHeight="1" s="38"/>
    <row r="296" ht="15.75" customFormat="1" customHeight="1" s="38"/>
    <row r="297" ht="15.75" customFormat="1" customHeight="1" s="38"/>
    <row r="298" ht="15.75" customFormat="1" customHeight="1" s="38"/>
    <row r="299" ht="15.75" customFormat="1" customHeight="1" s="38"/>
    <row r="300" ht="15.75" customFormat="1" customHeight="1" s="38"/>
    <row r="301" ht="15.75" customFormat="1" customHeight="1" s="38"/>
    <row r="302" ht="15.75" customFormat="1" customHeight="1" s="38"/>
    <row r="303" ht="15.75" customFormat="1" customHeight="1" s="38"/>
    <row r="304" ht="15.75" customFormat="1" customHeight="1" s="38"/>
    <row r="305" ht="15.75" customFormat="1" customHeight="1" s="38"/>
    <row r="306" ht="15.75" customFormat="1" customHeight="1" s="38"/>
    <row r="307" ht="15.75" customFormat="1" customHeight="1" s="38"/>
    <row r="308" ht="15.75" customFormat="1" customHeight="1" s="38"/>
    <row r="309" ht="15.75" customFormat="1" customHeight="1" s="38"/>
    <row r="310" ht="15.75" customFormat="1" customHeight="1" s="38"/>
    <row r="311" ht="15.75" customFormat="1" customHeight="1" s="38"/>
    <row r="312" ht="15.75" customFormat="1" customHeight="1" s="38"/>
    <row r="313" ht="15.75" customFormat="1" customHeight="1" s="38"/>
    <row r="314" ht="15.75" customFormat="1" customHeight="1" s="38"/>
    <row r="315" ht="15.75" customFormat="1" customHeight="1" s="38"/>
    <row r="316" ht="15.75" customFormat="1" customHeight="1" s="38"/>
    <row r="317" ht="15.75" customFormat="1" customHeight="1" s="38"/>
    <row r="318" ht="15.75" customFormat="1" customHeight="1" s="38"/>
    <row r="319" ht="15.75" customFormat="1" customHeight="1" s="38"/>
    <row r="320" ht="15.75" customFormat="1" customHeight="1" s="38"/>
    <row r="321" ht="15.75" customFormat="1" customHeight="1" s="38"/>
    <row r="322" ht="15.75" customFormat="1" customHeight="1" s="38"/>
    <row r="323" ht="15.75" customFormat="1" customHeight="1" s="38"/>
    <row r="324" ht="15.75" customFormat="1" customHeight="1" s="38"/>
    <row r="325" ht="15.75" customFormat="1" customHeight="1" s="38"/>
    <row r="326" ht="15.75" customFormat="1" customHeight="1" s="38"/>
    <row r="327" ht="15.75" customFormat="1" customHeight="1" s="38"/>
    <row r="328" ht="15.75" customFormat="1" customHeight="1" s="38"/>
    <row r="329" ht="15.75" customFormat="1" customHeight="1" s="38"/>
    <row r="330" ht="15.75" customFormat="1" customHeight="1" s="38"/>
    <row r="331" ht="15.75" customFormat="1" customHeight="1" s="38"/>
    <row r="332" ht="15.75" customFormat="1" customHeight="1" s="38"/>
    <row r="333" ht="15.75" customFormat="1" customHeight="1" s="38"/>
    <row r="334" ht="15.75" customFormat="1" customHeight="1" s="38"/>
    <row r="335" ht="15.75" customFormat="1" customHeight="1" s="38"/>
    <row r="336" ht="15.75" customFormat="1" customHeight="1" s="38"/>
    <row r="337" ht="15.75" customFormat="1" customHeight="1" s="38"/>
    <row r="338" ht="15.75" customFormat="1" customHeight="1" s="38"/>
    <row r="339" ht="15.75" customFormat="1" customHeight="1" s="38"/>
    <row r="340" ht="15.75" customFormat="1" customHeight="1" s="38"/>
    <row r="341" ht="15.75" customFormat="1" customHeight="1" s="38"/>
    <row r="342" ht="15.75" customFormat="1" customHeight="1" s="38"/>
    <row r="343" ht="15.75" customFormat="1" customHeight="1" s="38"/>
    <row r="344" ht="15.75" customFormat="1" customHeight="1" s="38"/>
    <row r="345" ht="15.75" customFormat="1" customHeight="1" s="38"/>
    <row r="346" ht="15.75" customFormat="1" customHeight="1" s="38"/>
    <row r="347" ht="15.75" customFormat="1" customHeight="1" s="38"/>
    <row r="348" ht="15.75" customFormat="1" customHeight="1" s="38"/>
    <row r="349" ht="15.75" customFormat="1" customHeight="1" s="38"/>
    <row r="350" ht="15.75" customFormat="1" customHeight="1" s="38"/>
    <row r="351" ht="15.75" customFormat="1" customHeight="1" s="38"/>
    <row r="352" ht="15.75" customFormat="1" customHeight="1" s="38"/>
    <row r="353" ht="15.75" customFormat="1" customHeight="1" s="38"/>
    <row r="354" ht="15.75" customFormat="1" customHeight="1" s="38"/>
    <row r="355" ht="15.75" customFormat="1" customHeight="1" s="38"/>
    <row r="356" ht="15.75" customFormat="1" customHeight="1" s="38"/>
    <row r="357" ht="15.75" customFormat="1" customHeight="1" s="38"/>
    <row r="358" ht="15.75" customFormat="1" customHeight="1" s="38"/>
    <row r="359" ht="15.75" customFormat="1" customHeight="1" s="38"/>
    <row r="360" ht="15.75" customFormat="1" customHeight="1" s="38"/>
    <row r="361" ht="15.75" customFormat="1" customHeight="1" s="38"/>
    <row r="362" ht="15.75" customFormat="1" customHeight="1" s="38"/>
    <row r="363" ht="15.75" customFormat="1" customHeight="1" s="38"/>
    <row r="364" ht="15.75" customFormat="1" customHeight="1" s="38"/>
    <row r="365" ht="15.75" customFormat="1" customHeight="1" s="38"/>
    <row r="366" ht="15.75" customFormat="1" customHeight="1" s="38"/>
    <row r="367" ht="15.75" customFormat="1" customHeight="1" s="38"/>
    <row r="368" ht="15.75" customFormat="1" customHeight="1" s="38"/>
    <row r="369" ht="15.75" customFormat="1" customHeight="1" s="38"/>
    <row r="370" ht="15.75" customFormat="1" customHeight="1" s="38"/>
    <row r="371" ht="15.75" customFormat="1" customHeight="1" s="38"/>
    <row r="372" ht="15.75" customFormat="1" customHeight="1" s="38"/>
    <row r="373" ht="15.75" customFormat="1" customHeight="1" s="38"/>
    <row r="374" ht="15.75" customFormat="1" customHeight="1" s="38"/>
    <row r="375" ht="15.75" customFormat="1" customHeight="1" s="38"/>
    <row r="376" ht="15.75" customFormat="1" customHeight="1" s="38"/>
    <row r="377" ht="15.75" customFormat="1" customHeight="1" s="38"/>
    <row r="378" ht="15.75" customFormat="1" customHeight="1" s="38"/>
    <row r="379" ht="15.75" customFormat="1" customHeight="1" s="38"/>
    <row r="380" ht="15.75" customFormat="1" customHeight="1" s="38"/>
    <row r="381" ht="15.75" customFormat="1" customHeight="1" s="38"/>
    <row r="382" ht="15.75" customFormat="1" customHeight="1" s="38"/>
    <row r="383" ht="15.75" customFormat="1" customHeight="1" s="38"/>
    <row r="384" ht="15.75" customFormat="1" customHeight="1" s="38"/>
    <row r="385" ht="15.75" customFormat="1" customHeight="1" s="38"/>
    <row r="386" ht="15.75" customFormat="1" customHeight="1" s="38"/>
    <row r="387" ht="15.75" customFormat="1" customHeight="1" s="38"/>
    <row r="388" ht="15.75" customFormat="1" customHeight="1" s="38"/>
    <row r="389" ht="15.75" customFormat="1" customHeight="1" s="38"/>
    <row r="390" ht="15.75" customFormat="1" customHeight="1" s="38"/>
    <row r="391" ht="15.75" customFormat="1" customHeight="1" s="38"/>
    <row r="392" ht="15.75" customFormat="1" customHeight="1" s="38"/>
    <row r="393" ht="15.75" customFormat="1" customHeight="1" s="38"/>
    <row r="394" ht="15.75" customFormat="1" customHeight="1" s="38"/>
    <row r="395" ht="15.75" customFormat="1" customHeight="1" s="38"/>
    <row r="396" ht="15.75" customFormat="1" customHeight="1" s="38"/>
    <row r="397" ht="15.75" customFormat="1" customHeight="1" s="38"/>
    <row r="398" ht="15.75" customFormat="1" customHeight="1" s="38"/>
    <row r="399" ht="15.75" customFormat="1" customHeight="1" s="38"/>
    <row r="400" ht="15.75" customFormat="1" customHeight="1" s="38"/>
    <row r="401" ht="15.75" customFormat="1" customHeight="1" s="38"/>
    <row r="402" ht="15.75" customFormat="1" customHeight="1" s="38"/>
    <row r="403" ht="15.75" customFormat="1" customHeight="1" s="38"/>
    <row r="404" ht="15.75" customFormat="1" customHeight="1" s="38"/>
    <row r="405" ht="15.75" customFormat="1" customHeight="1" s="38"/>
    <row r="406" ht="15.75" customFormat="1" customHeight="1" s="38"/>
    <row r="407" ht="15.75" customFormat="1" customHeight="1" s="38"/>
    <row r="408" ht="15.75" customFormat="1" customHeight="1" s="38"/>
    <row r="409" ht="15.75" customFormat="1" customHeight="1" s="38"/>
    <row r="410" ht="15.75" customFormat="1" customHeight="1" s="38"/>
    <row r="411" ht="15.75" customFormat="1" customHeight="1" s="38"/>
    <row r="412" ht="15.75" customFormat="1" customHeight="1" s="38"/>
    <row r="413" ht="15.75" customFormat="1" customHeight="1" s="38"/>
    <row r="414" ht="15.75" customFormat="1" customHeight="1" s="38"/>
    <row r="415" ht="15.75" customFormat="1" customHeight="1" s="38"/>
    <row r="416" ht="15.75" customFormat="1" customHeight="1" s="38"/>
    <row r="417" ht="15.75" customFormat="1" customHeight="1" s="38"/>
    <row r="418" ht="15.75" customFormat="1" customHeight="1" s="38"/>
    <row r="419" ht="15.75" customFormat="1" customHeight="1" s="38"/>
    <row r="420" ht="15.75" customFormat="1" customHeight="1" s="38"/>
    <row r="421" ht="15.75" customFormat="1" customHeight="1" s="38"/>
    <row r="422" ht="15.75" customFormat="1" customHeight="1" s="38"/>
    <row r="423" ht="15.75" customFormat="1" customHeight="1" s="38"/>
    <row r="424" ht="15.75" customFormat="1" customHeight="1" s="38"/>
    <row r="425" ht="15.75" customFormat="1" customHeight="1" s="38"/>
    <row r="426" ht="15.75" customFormat="1" customHeight="1" s="38"/>
    <row r="427" ht="15.75" customFormat="1" customHeight="1" s="38"/>
    <row r="428" ht="15.75" customFormat="1" customHeight="1" s="38"/>
    <row r="429" ht="15.75" customFormat="1" customHeight="1" s="38"/>
    <row r="430" ht="15.75" customFormat="1" customHeight="1" s="38"/>
    <row r="431" ht="15.75" customFormat="1" customHeight="1" s="38"/>
    <row r="432" ht="15.75" customFormat="1" customHeight="1" s="38"/>
    <row r="433" ht="15.75" customFormat="1" customHeight="1" s="38"/>
    <row r="434" ht="15.75" customFormat="1" customHeight="1" s="38"/>
    <row r="435" ht="15.75" customFormat="1" customHeight="1" s="38"/>
    <row r="436" ht="15.75" customFormat="1" customHeight="1" s="38"/>
    <row r="437" ht="15.75" customFormat="1" customHeight="1" s="38"/>
    <row r="438" ht="15.75" customFormat="1" customHeight="1" s="38"/>
    <row r="439" ht="15.75" customFormat="1" customHeight="1" s="38"/>
    <row r="440" ht="15.75" customFormat="1" customHeight="1" s="38"/>
    <row r="441" ht="15.75" customFormat="1" customHeight="1" s="38"/>
    <row r="442" ht="15.75" customFormat="1" customHeight="1" s="38"/>
    <row r="443" ht="15.75" customFormat="1" customHeight="1" s="38"/>
    <row r="444" ht="15.75" customFormat="1" customHeight="1" s="38"/>
    <row r="445" ht="15.75" customFormat="1" customHeight="1" s="38"/>
    <row r="446" ht="15.75" customFormat="1" customHeight="1" s="38"/>
    <row r="447" ht="15.75" customFormat="1" customHeight="1" s="38"/>
    <row r="448" ht="15.75" customFormat="1" customHeight="1" s="38"/>
    <row r="449" ht="15.75" customFormat="1" customHeight="1" s="38"/>
    <row r="450" ht="15.75" customFormat="1" customHeight="1" s="38"/>
    <row r="451" ht="15.75" customFormat="1" customHeight="1" s="38"/>
    <row r="452" ht="15.75" customFormat="1" customHeight="1" s="38"/>
    <row r="453" ht="15.75" customFormat="1" customHeight="1" s="38"/>
    <row r="454" ht="15.75" customFormat="1" customHeight="1" s="38"/>
    <row r="455" ht="15.75" customFormat="1" customHeight="1" s="38"/>
    <row r="456" ht="15.75" customFormat="1" customHeight="1" s="38"/>
    <row r="457" ht="15.75" customFormat="1" customHeight="1" s="38"/>
    <row r="458" ht="15.75" customFormat="1" customHeight="1" s="38"/>
    <row r="459" ht="15.75" customFormat="1" customHeight="1" s="38"/>
    <row r="460" ht="15.75" customFormat="1" customHeight="1" s="38"/>
    <row r="461" ht="15.75" customFormat="1" customHeight="1" s="38"/>
    <row r="462" ht="15.75" customFormat="1" customHeight="1" s="38"/>
    <row r="463" ht="15.75" customFormat="1" customHeight="1" s="38"/>
    <row r="464" ht="15.75" customFormat="1" customHeight="1" s="38"/>
    <row r="465" ht="15.75" customFormat="1" customHeight="1" s="38"/>
    <row r="466" ht="15.75" customFormat="1" customHeight="1" s="38"/>
    <row r="467" ht="15.75" customFormat="1" customHeight="1" s="38"/>
    <row r="468" ht="15.75" customFormat="1" customHeight="1" s="38"/>
    <row r="469" ht="15.75" customFormat="1" customHeight="1" s="38"/>
    <row r="470" ht="15.75" customFormat="1" customHeight="1" s="38"/>
    <row r="471" ht="15.75" customFormat="1" customHeight="1" s="38"/>
    <row r="472" ht="15.75" customFormat="1" customHeight="1" s="38"/>
    <row r="473" ht="15.75" customFormat="1" customHeight="1" s="38"/>
    <row r="474" ht="15.75" customFormat="1" customHeight="1" s="38"/>
    <row r="475" ht="15.75" customFormat="1" customHeight="1" s="38"/>
    <row r="476" ht="15.75" customFormat="1" customHeight="1" s="38"/>
    <row r="477" ht="15.75" customFormat="1" customHeight="1" s="38"/>
    <row r="478" ht="15.75" customFormat="1" customHeight="1" s="38"/>
    <row r="479" ht="15.75" customFormat="1" customHeight="1" s="38"/>
    <row r="480" ht="15.75" customFormat="1" customHeight="1" s="38"/>
    <row r="481" ht="15.75" customFormat="1" customHeight="1" s="38"/>
    <row r="482" ht="15.75" customFormat="1" customHeight="1" s="38"/>
    <row r="483" ht="15.75" customFormat="1" customHeight="1" s="38"/>
    <row r="484" ht="15.75" customFormat="1" customHeight="1" s="38"/>
    <row r="485" ht="15.75" customFormat="1" customHeight="1" s="38"/>
    <row r="486" ht="15.75" customFormat="1" customHeight="1" s="38"/>
    <row r="487" ht="15.75" customFormat="1" customHeight="1" s="38"/>
    <row r="488" ht="15.75" customFormat="1" customHeight="1" s="38"/>
    <row r="489" ht="15.75" customFormat="1" customHeight="1" s="38"/>
    <row r="490" ht="15.75" customFormat="1" customHeight="1" s="38"/>
    <row r="491" ht="15.75" customFormat="1" customHeight="1" s="38"/>
    <row r="492" ht="15.75" customFormat="1" customHeight="1" s="38"/>
    <row r="493" ht="15.75" customFormat="1" customHeight="1" s="38"/>
    <row r="494" ht="15.75" customFormat="1" customHeight="1" s="38"/>
    <row r="495" ht="15.75" customFormat="1" customHeight="1" s="38"/>
    <row r="496" ht="15.75" customFormat="1" customHeight="1" s="38"/>
    <row r="497" ht="15.75" customFormat="1" customHeight="1" s="38"/>
    <row r="498" ht="15.75" customFormat="1" customHeight="1" s="38"/>
    <row r="499" ht="15.75" customFormat="1" customHeight="1" s="38"/>
    <row r="500" ht="15.75" customFormat="1" customHeight="1" s="38"/>
    <row r="501" ht="15.75" customFormat="1" customHeight="1" s="38"/>
    <row r="502" ht="15.75" customFormat="1" customHeight="1" s="38"/>
    <row r="503" ht="15.75" customFormat="1" customHeight="1" s="38"/>
    <row r="504" ht="15.75" customFormat="1" customHeight="1" s="38"/>
    <row r="505" ht="15.75" customFormat="1" customHeight="1" s="38"/>
    <row r="506" ht="15.75" customFormat="1" customHeight="1" s="38"/>
    <row r="507" ht="15.75" customFormat="1" customHeight="1" s="38"/>
    <row r="508" ht="15.75" customFormat="1" customHeight="1" s="38"/>
    <row r="509" ht="15.75" customFormat="1" customHeight="1" s="38"/>
    <row r="510" ht="15.75" customFormat="1" customHeight="1" s="38"/>
    <row r="511" ht="15.75" customFormat="1" customHeight="1" s="38"/>
    <row r="512" ht="15.75" customFormat="1" customHeight="1" s="38"/>
    <row r="513" ht="15.75" customFormat="1" customHeight="1" s="38"/>
    <row r="514" ht="15.75" customFormat="1" customHeight="1" s="38"/>
    <row r="515" ht="15.75" customFormat="1" customHeight="1" s="38"/>
    <row r="516" ht="15.75" customFormat="1" customHeight="1" s="38"/>
    <row r="517" ht="15.75" customFormat="1" customHeight="1" s="38"/>
    <row r="518" ht="15.75" customFormat="1" customHeight="1" s="38"/>
    <row r="519" ht="15.75" customFormat="1" customHeight="1" s="38"/>
    <row r="520" ht="15.75" customFormat="1" customHeight="1" s="38"/>
    <row r="521" ht="15.75" customFormat="1" customHeight="1" s="38"/>
    <row r="522" ht="15.75" customFormat="1" customHeight="1" s="38"/>
    <row r="523" ht="15.75" customFormat="1" customHeight="1" s="38"/>
    <row r="524" ht="15.75" customFormat="1" customHeight="1" s="38"/>
    <row r="525" ht="15.75" customFormat="1" customHeight="1" s="38"/>
    <row r="526" ht="15.75" customFormat="1" customHeight="1" s="38"/>
    <row r="527" ht="15.75" customFormat="1" customHeight="1" s="38"/>
    <row r="528" ht="15.75" customFormat="1" customHeight="1" s="38"/>
    <row r="529" ht="15.75" customFormat="1" customHeight="1" s="38"/>
    <row r="530" ht="15.75" customFormat="1" customHeight="1" s="38"/>
    <row r="531" ht="15.75" customFormat="1" customHeight="1" s="38"/>
    <row r="532" ht="15.75" customFormat="1" customHeight="1" s="38"/>
    <row r="533" ht="15.75" customFormat="1" customHeight="1" s="38"/>
    <row r="534" ht="15.75" customFormat="1" customHeight="1" s="38"/>
    <row r="535" ht="15.75" customFormat="1" customHeight="1" s="38"/>
    <row r="536" ht="15.75" customFormat="1" customHeight="1" s="38"/>
    <row r="537" ht="15.75" customFormat="1" customHeight="1" s="38"/>
    <row r="538" ht="15.75" customFormat="1" customHeight="1" s="38"/>
    <row r="539" ht="15.75" customFormat="1" customHeight="1" s="38"/>
    <row r="540" ht="15.75" customFormat="1" customHeight="1" s="38"/>
    <row r="541" ht="15.75" customFormat="1" customHeight="1" s="38"/>
    <row r="542" ht="15.75" customFormat="1" customHeight="1" s="38"/>
    <row r="543" ht="15.75" customFormat="1" customHeight="1" s="38"/>
    <row r="544" ht="15.75" customFormat="1" customHeight="1" s="38"/>
    <row r="545" ht="15.75" customFormat="1" customHeight="1" s="38"/>
    <row r="546" ht="15.75" customFormat="1" customHeight="1" s="38"/>
    <row r="547" ht="15.75" customFormat="1" customHeight="1" s="38"/>
    <row r="548" ht="15.75" customFormat="1" customHeight="1" s="38"/>
    <row r="549" ht="15.75" customFormat="1" customHeight="1" s="38"/>
    <row r="550" ht="15.75" customFormat="1" customHeight="1" s="38"/>
    <row r="551" ht="15.75" customFormat="1" customHeight="1" s="38"/>
    <row r="552" ht="15.75" customFormat="1" customHeight="1" s="38"/>
    <row r="553" ht="15.75" customFormat="1" customHeight="1" s="38"/>
    <row r="554" ht="15.75" customFormat="1" customHeight="1" s="38"/>
    <row r="555" ht="15.75" customFormat="1" customHeight="1" s="38"/>
    <row r="556" ht="15.75" customFormat="1" customHeight="1" s="38"/>
    <row r="557" ht="15.75" customFormat="1" customHeight="1" s="38"/>
    <row r="558" ht="15.75" customFormat="1" customHeight="1" s="38"/>
    <row r="559" ht="15.75" customFormat="1" customHeight="1" s="38"/>
    <row r="560" ht="15.75" customFormat="1" customHeight="1" s="38"/>
    <row r="561" ht="15.75" customFormat="1" customHeight="1" s="38"/>
    <row r="562" ht="15.75" customFormat="1" customHeight="1" s="38"/>
    <row r="563" ht="15.75" customFormat="1" customHeight="1" s="38"/>
    <row r="564" ht="15.75" customFormat="1" customHeight="1" s="38"/>
    <row r="565" ht="15.75" customFormat="1" customHeight="1" s="38"/>
    <row r="566" ht="15.75" customFormat="1" customHeight="1" s="38"/>
    <row r="567" ht="15.75" customFormat="1" customHeight="1" s="38"/>
    <row r="568" ht="15.75" customFormat="1" customHeight="1" s="38"/>
    <row r="569" ht="15.75" customFormat="1" customHeight="1" s="38"/>
    <row r="570" ht="15.75" customFormat="1" customHeight="1" s="38"/>
    <row r="571" ht="15.75" customFormat="1" customHeight="1" s="38"/>
    <row r="572" ht="15.75" customFormat="1" customHeight="1" s="38"/>
    <row r="573" ht="15.75" customFormat="1" customHeight="1" s="38"/>
    <row r="574" ht="15.75" customFormat="1" customHeight="1" s="38"/>
    <row r="575" ht="15.75" customFormat="1" customHeight="1" s="38"/>
    <row r="576" ht="15.75" customFormat="1" customHeight="1" s="38"/>
    <row r="577" ht="15.75" customFormat="1" customHeight="1" s="38"/>
    <row r="578" ht="15.75" customFormat="1" customHeight="1" s="38"/>
    <row r="579" ht="15.75" customFormat="1" customHeight="1" s="38"/>
    <row r="580" ht="15.75" customFormat="1" customHeight="1" s="38"/>
    <row r="581" ht="15.75" customFormat="1" customHeight="1" s="38"/>
    <row r="582" ht="15.75" customFormat="1" customHeight="1" s="38"/>
    <row r="583" ht="15.75" customFormat="1" customHeight="1" s="38"/>
    <row r="584" ht="15.75" customFormat="1" customHeight="1" s="38"/>
    <row r="585" ht="15.75" customFormat="1" customHeight="1" s="38"/>
    <row r="586" ht="15.75" customFormat="1" customHeight="1" s="38"/>
    <row r="587" ht="15.75" customFormat="1" customHeight="1" s="38"/>
    <row r="588" ht="15.75" customFormat="1" customHeight="1" s="38"/>
    <row r="589" ht="15.75" customFormat="1" customHeight="1" s="38"/>
    <row r="590" ht="15.75" customFormat="1" customHeight="1" s="38"/>
    <row r="591" ht="15.75" customFormat="1" customHeight="1" s="38"/>
    <row r="592" ht="15.75" customFormat="1" customHeight="1" s="38"/>
    <row r="593" ht="15.75" customFormat="1" customHeight="1" s="38"/>
    <row r="594" ht="15.75" customFormat="1" customHeight="1" s="38"/>
    <row r="595" ht="15.75" customFormat="1" customHeight="1" s="38"/>
    <row r="596" ht="15.75" customFormat="1" customHeight="1" s="38"/>
    <row r="597" ht="15.75" customFormat="1" customHeight="1" s="38"/>
    <row r="598" ht="15.75" customFormat="1" customHeight="1" s="38"/>
    <row r="599" ht="15.75" customFormat="1" customHeight="1" s="38"/>
    <row r="600" ht="15.75" customFormat="1" customHeight="1" s="38"/>
    <row r="601" ht="15.75" customFormat="1" customHeight="1" s="38"/>
    <row r="602" ht="15.75" customFormat="1" customHeight="1" s="38"/>
    <row r="603" ht="15.75" customFormat="1" customHeight="1" s="38"/>
    <row r="604" ht="15.75" customFormat="1" customHeight="1" s="38"/>
    <row r="605" ht="15.75" customFormat="1" customHeight="1" s="38"/>
    <row r="606" ht="15.75" customFormat="1" customHeight="1" s="38"/>
    <row r="607" ht="15.75" customFormat="1" customHeight="1" s="38"/>
    <row r="608" ht="15.75" customFormat="1" customHeight="1" s="38"/>
    <row r="609" ht="15.75" customFormat="1" customHeight="1" s="38"/>
    <row r="610" ht="15.75" customFormat="1" customHeight="1" s="38"/>
    <row r="611" ht="15.75" customFormat="1" customHeight="1" s="38"/>
    <row r="612" ht="15.75" customFormat="1" customHeight="1" s="38"/>
    <row r="613" ht="15.75" customFormat="1" customHeight="1" s="38"/>
    <row r="614" ht="15.75" customFormat="1" customHeight="1" s="38"/>
    <row r="615" ht="15.75" customFormat="1" customHeight="1" s="38"/>
    <row r="616" ht="15.75" customFormat="1" customHeight="1" s="38"/>
    <row r="617" ht="15.75" customFormat="1" customHeight="1" s="38"/>
    <row r="618" ht="15.75" customFormat="1" customHeight="1" s="38"/>
    <row r="619" ht="15.75" customFormat="1" customHeight="1" s="38"/>
    <row r="620" ht="15.75" customFormat="1" customHeight="1" s="38"/>
    <row r="621" ht="15.75" customFormat="1" customHeight="1" s="38"/>
    <row r="622" ht="15.75" customFormat="1" customHeight="1" s="38"/>
    <row r="623" ht="15.75" customFormat="1" customHeight="1" s="38"/>
    <row r="624" ht="15.75" customFormat="1" customHeight="1" s="38"/>
    <row r="625" ht="15.75" customFormat="1" customHeight="1" s="38"/>
    <row r="626" ht="15.75" customFormat="1" customHeight="1" s="38"/>
    <row r="627" ht="15.75" customFormat="1" customHeight="1" s="38"/>
    <row r="628" ht="15.75" customFormat="1" customHeight="1" s="38"/>
    <row r="629" ht="15.75" customFormat="1" customHeight="1" s="38"/>
    <row r="630" ht="15.75" customFormat="1" customHeight="1" s="38"/>
    <row r="631" ht="15.75" customFormat="1" customHeight="1" s="38"/>
    <row r="632" ht="15.75" customFormat="1" customHeight="1" s="38"/>
    <row r="633" ht="15.75" customFormat="1" customHeight="1" s="38"/>
    <row r="634" ht="15.75" customFormat="1" customHeight="1" s="38"/>
    <row r="635" ht="15.75" customFormat="1" customHeight="1" s="38"/>
    <row r="636" ht="15.75" customFormat="1" customHeight="1" s="38"/>
    <row r="637" ht="15.75" customFormat="1" customHeight="1" s="38"/>
    <row r="638" ht="15.75" customFormat="1" customHeight="1" s="38"/>
    <row r="639" ht="15.75" customFormat="1" customHeight="1" s="38"/>
    <row r="640" ht="15.75" customFormat="1" customHeight="1" s="38"/>
    <row r="641" ht="15.75" customFormat="1" customHeight="1" s="38"/>
    <row r="642" ht="15.75" customFormat="1" customHeight="1" s="38"/>
    <row r="643" ht="15.75" customFormat="1" customHeight="1" s="38"/>
    <row r="644" ht="15.75" customFormat="1" customHeight="1" s="38"/>
    <row r="645" ht="15.75" customFormat="1" customHeight="1" s="38"/>
    <row r="646" ht="15.75" customFormat="1" customHeight="1" s="38"/>
    <row r="647" ht="15.75" customFormat="1" customHeight="1" s="38"/>
    <row r="648" ht="15.75" customFormat="1" customHeight="1" s="38"/>
    <row r="649" ht="15.75" customFormat="1" customHeight="1" s="38"/>
    <row r="650" ht="15.75" customFormat="1" customHeight="1" s="38"/>
    <row r="651" ht="15.75" customFormat="1" customHeight="1" s="38"/>
    <row r="652" ht="15.75" customFormat="1" customHeight="1" s="38"/>
    <row r="653" ht="15.75" customFormat="1" customHeight="1" s="38"/>
    <row r="654" ht="15.75" customFormat="1" customHeight="1" s="38"/>
    <row r="655" ht="15.75" customFormat="1" customHeight="1" s="38"/>
    <row r="656" ht="15.75" customFormat="1" customHeight="1" s="38"/>
    <row r="657" ht="15.75" customFormat="1" customHeight="1" s="38"/>
    <row r="658" ht="15.75" customFormat="1" customHeight="1" s="38"/>
    <row r="659" ht="15.75" customFormat="1" customHeight="1" s="38"/>
    <row r="660" ht="15.75" customFormat="1" customHeight="1" s="38"/>
    <row r="661" ht="15.75" customFormat="1" customHeight="1" s="38"/>
    <row r="662" ht="15.75" customFormat="1" customHeight="1" s="38"/>
    <row r="663" ht="15.75" customFormat="1" customHeight="1" s="38"/>
    <row r="664" ht="15.75" customFormat="1" customHeight="1" s="38"/>
    <row r="665" ht="15.75" customFormat="1" customHeight="1" s="38"/>
    <row r="666" ht="15.75" customFormat="1" customHeight="1" s="38"/>
    <row r="667" ht="15.75" customFormat="1" customHeight="1" s="38"/>
    <row r="668" ht="15.75" customFormat="1" customHeight="1" s="38"/>
    <row r="669" ht="15.75" customFormat="1" customHeight="1" s="38"/>
    <row r="670" ht="15.75" customFormat="1" customHeight="1" s="38"/>
    <row r="671" ht="15.75" customFormat="1" customHeight="1" s="38"/>
    <row r="672" ht="15.75" customFormat="1" customHeight="1" s="38"/>
    <row r="673" ht="15.75" customFormat="1" customHeight="1" s="38"/>
    <row r="674" ht="15.75" customFormat="1" customHeight="1" s="38"/>
    <row r="675" ht="15.75" customFormat="1" customHeight="1" s="38"/>
    <row r="676" ht="15.75" customFormat="1" customHeight="1" s="38"/>
    <row r="677" ht="15.75" customFormat="1" customHeight="1" s="38"/>
    <row r="678" ht="15.75" customFormat="1" customHeight="1" s="38"/>
    <row r="679" ht="15.75" customFormat="1" customHeight="1" s="38"/>
    <row r="680" ht="15.75" customFormat="1" customHeight="1" s="38"/>
    <row r="681" ht="15.75" customFormat="1" customHeight="1" s="38"/>
    <row r="682" ht="15.75" customFormat="1" customHeight="1" s="38"/>
    <row r="683" ht="15.75" customFormat="1" customHeight="1" s="38"/>
    <row r="684" ht="15.75" customFormat="1" customHeight="1" s="38"/>
    <row r="685" ht="15.75" customFormat="1" customHeight="1" s="38"/>
    <row r="686" ht="15.75" customFormat="1" customHeight="1" s="38"/>
    <row r="687" ht="15.75" customFormat="1" customHeight="1" s="38"/>
    <row r="688" ht="15.75" customFormat="1" customHeight="1" s="38"/>
    <row r="689" ht="15.75" customFormat="1" customHeight="1" s="38"/>
    <row r="690" ht="15.75" customFormat="1" customHeight="1" s="38"/>
    <row r="691" ht="15.75" customFormat="1" customHeight="1" s="38"/>
    <row r="692" ht="15.75" customFormat="1" customHeight="1" s="38"/>
    <row r="693" ht="15.75" customFormat="1" customHeight="1" s="38"/>
    <row r="694" ht="15.75" customFormat="1" customHeight="1" s="38"/>
    <row r="695" ht="15.75" customFormat="1" customHeight="1" s="38"/>
    <row r="696" ht="15.75" customFormat="1" customHeight="1" s="38"/>
    <row r="697" ht="15.75" customFormat="1" customHeight="1" s="38"/>
    <row r="698" ht="15.75" customFormat="1" customHeight="1" s="38"/>
    <row r="699" ht="15.75" customFormat="1" customHeight="1" s="38"/>
    <row r="700" ht="15.75" customFormat="1" customHeight="1" s="38"/>
    <row r="701" ht="15.75" customFormat="1" customHeight="1" s="38"/>
    <row r="702" ht="15.75" customFormat="1" customHeight="1" s="38"/>
    <row r="703" ht="15.75" customFormat="1" customHeight="1" s="38"/>
    <row r="704" ht="15.75" customFormat="1" customHeight="1" s="38"/>
    <row r="705" ht="15.75" customFormat="1" customHeight="1" s="38"/>
    <row r="706" ht="15.75" customFormat="1" customHeight="1" s="38"/>
    <row r="707" ht="15.75" customFormat="1" customHeight="1" s="38"/>
    <row r="708" ht="15.75" customFormat="1" customHeight="1" s="38"/>
    <row r="709" ht="15.75" customFormat="1" customHeight="1" s="38"/>
    <row r="710" ht="15.75" customFormat="1" customHeight="1" s="38"/>
    <row r="711" ht="15.75" customFormat="1" customHeight="1" s="38"/>
    <row r="712" ht="15.75" customFormat="1" customHeight="1" s="38"/>
    <row r="713" ht="15.75" customFormat="1" customHeight="1" s="38"/>
    <row r="714" ht="15.75" customFormat="1" customHeight="1" s="38"/>
    <row r="715" ht="15.75" customFormat="1" customHeight="1" s="38"/>
    <row r="716" ht="15.75" customFormat="1" customHeight="1" s="38"/>
    <row r="717" ht="15.75" customFormat="1" customHeight="1" s="38"/>
    <row r="718" ht="15.75" customFormat="1" customHeight="1" s="38"/>
    <row r="719" ht="15.75" customFormat="1" customHeight="1" s="38"/>
    <row r="720" ht="15.75" customFormat="1" customHeight="1" s="38"/>
    <row r="721" ht="15.75" customFormat="1" customHeight="1" s="38"/>
    <row r="722" ht="15.75" customFormat="1" customHeight="1" s="38"/>
    <row r="723" ht="15.75" customFormat="1" customHeight="1" s="38"/>
    <row r="724" ht="15.75" customFormat="1" customHeight="1" s="38"/>
    <row r="725" ht="15.75" customFormat="1" customHeight="1" s="38"/>
    <row r="726" ht="15.75" customFormat="1" customHeight="1" s="38"/>
    <row r="727" ht="15.75" customFormat="1" customHeight="1" s="38"/>
    <row r="728" ht="15.75" customFormat="1" customHeight="1" s="38"/>
    <row r="729" ht="15.75" customFormat="1" customHeight="1" s="38"/>
    <row r="730" ht="15.75" customFormat="1" customHeight="1" s="38"/>
    <row r="731" ht="15.75" customFormat="1" customHeight="1" s="38"/>
    <row r="732" ht="15.75" customFormat="1" customHeight="1" s="38"/>
    <row r="733" ht="15.75" customFormat="1" customHeight="1" s="38"/>
    <row r="734" ht="15.75" customFormat="1" customHeight="1" s="38"/>
    <row r="735" ht="15.75" customFormat="1" customHeight="1" s="38"/>
    <row r="736" ht="15.75" customFormat="1" customHeight="1" s="38"/>
    <row r="737" ht="15.75" customFormat="1" customHeight="1" s="38"/>
    <row r="738" ht="15.75" customFormat="1" customHeight="1" s="38"/>
    <row r="739" ht="15.75" customFormat="1" customHeight="1" s="38"/>
    <row r="740" ht="15.75" customFormat="1" customHeight="1" s="38"/>
    <row r="741" ht="15.75" customFormat="1" customHeight="1" s="38"/>
    <row r="742" ht="15.75" customFormat="1" customHeight="1" s="38"/>
    <row r="743" ht="15.75" customFormat="1" customHeight="1" s="38"/>
    <row r="744" ht="15.75" customFormat="1" customHeight="1" s="38"/>
    <row r="745" ht="15.75" customFormat="1" customHeight="1" s="38"/>
    <row r="746" ht="15.75" customFormat="1" customHeight="1" s="38"/>
    <row r="747" ht="15.75" customFormat="1" customHeight="1" s="38"/>
    <row r="748" ht="15.75" customFormat="1" customHeight="1" s="38"/>
    <row r="749" ht="15.75" customFormat="1" customHeight="1" s="38"/>
    <row r="750" ht="15.75" customFormat="1" customHeight="1" s="38"/>
    <row r="751" ht="15.75" customFormat="1" customHeight="1" s="38"/>
    <row r="752" ht="15.75" customFormat="1" customHeight="1" s="38"/>
    <row r="753" ht="15.75" customFormat="1" customHeight="1" s="38"/>
    <row r="754" ht="15.75" customFormat="1" customHeight="1" s="38"/>
    <row r="755" ht="15.75" customFormat="1" customHeight="1" s="38"/>
    <row r="756" ht="15.75" customFormat="1" customHeight="1" s="38"/>
    <row r="757" ht="15.75" customFormat="1" customHeight="1" s="38"/>
    <row r="758" ht="15.75" customFormat="1" customHeight="1" s="38"/>
    <row r="759" ht="15.75" customFormat="1" customHeight="1" s="38"/>
    <row r="760" ht="15.75" customFormat="1" customHeight="1" s="38"/>
    <row r="761" ht="15.75" customFormat="1" customHeight="1" s="38"/>
    <row r="762" ht="15.75" customFormat="1" customHeight="1" s="38"/>
    <row r="763" ht="15.75" customFormat="1" customHeight="1" s="38"/>
    <row r="764" ht="15.75" customFormat="1" customHeight="1" s="38"/>
    <row r="765" ht="15.75" customFormat="1" customHeight="1" s="38"/>
    <row r="766" ht="15.75" customFormat="1" customHeight="1" s="38"/>
    <row r="767" ht="15.75" customFormat="1" customHeight="1" s="38"/>
    <row r="768" ht="15.75" customFormat="1" customHeight="1" s="38"/>
    <row r="769" ht="15.75" customFormat="1" customHeight="1" s="38"/>
    <row r="770" ht="15.75" customFormat="1" customHeight="1" s="38"/>
    <row r="771" ht="15.75" customFormat="1" customHeight="1" s="38"/>
    <row r="772" ht="15.75" customFormat="1" customHeight="1" s="38"/>
    <row r="773" ht="15.75" customFormat="1" customHeight="1" s="38"/>
    <row r="774" ht="15.75" customFormat="1" customHeight="1" s="38"/>
    <row r="775" ht="15.75" customFormat="1" customHeight="1" s="38"/>
    <row r="776" ht="15.75" customFormat="1" customHeight="1" s="38"/>
    <row r="777" ht="15.75" customFormat="1" customHeight="1" s="38"/>
    <row r="778" ht="15.75" customFormat="1" customHeight="1" s="38"/>
    <row r="779" ht="15.75" customFormat="1" customHeight="1" s="38"/>
    <row r="780" ht="15.75" customFormat="1" customHeight="1" s="38"/>
    <row r="781" ht="15.75" customFormat="1" customHeight="1" s="38"/>
    <row r="782" ht="15.75" customFormat="1" customHeight="1" s="38"/>
    <row r="783" ht="15.75" customFormat="1" customHeight="1" s="38"/>
    <row r="784" ht="15.75" customFormat="1" customHeight="1" s="38"/>
    <row r="785" ht="15.75" customFormat="1" customHeight="1" s="38"/>
    <row r="786" ht="15.75" customFormat="1" customHeight="1" s="38"/>
    <row r="787" ht="15.75" customFormat="1" customHeight="1" s="38"/>
    <row r="788" ht="15.75" customFormat="1" customHeight="1" s="38"/>
    <row r="789" ht="15.75" customFormat="1" customHeight="1" s="38"/>
    <row r="790" ht="15.75" customFormat="1" customHeight="1" s="38"/>
    <row r="791" ht="15.75" customFormat="1" customHeight="1" s="38"/>
    <row r="792" ht="15.75" customFormat="1" customHeight="1" s="38"/>
    <row r="793" ht="15.75" customFormat="1" customHeight="1" s="38"/>
    <row r="794" ht="15.75" customFormat="1" customHeight="1" s="38"/>
    <row r="795" ht="15.75" customFormat="1" customHeight="1" s="38"/>
    <row r="796" ht="15.75" customFormat="1" customHeight="1" s="38"/>
    <row r="797" ht="15.75" customFormat="1" customHeight="1" s="38"/>
    <row r="798" ht="15.75" customFormat="1" customHeight="1" s="38"/>
    <row r="799" ht="15.75" customFormat="1" customHeight="1" s="38"/>
    <row r="800" ht="15.75" customFormat="1" customHeight="1" s="38"/>
    <row r="801" ht="15.75" customFormat="1" customHeight="1" s="38"/>
    <row r="802" ht="15.75" customFormat="1" customHeight="1" s="38"/>
    <row r="803" ht="15.75" customFormat="1" customHeight="1" s="38"/>
    <row r="804" ht="15.75" customFormat="1" customHeight="1" s="38"/>
    <row r="805" ht="15.75" customFormat="1" customHeight="1" s="38"/>
    <row r="806" ht="15.75" customFormat="1" customHeight="1" s="38"/>
    <row r="807" ht="15.75" customFormat="1" customHeight="1" s="38"/>
    <row r="808" ht="15.75" customFormat="1" customHeight="1" s="38"/>
    <row r="809" ht="15.75" customFormat="1" customHeight="1" s="38"/>
    <row r="810" ht="15.75" customFormat="1" customHeight="1" s="38"/>
    <row r="811" ht="15.75" customFormat="1" customHeight="1" s="38"/>
    <row r="812" ht="15.75" customFormat="1" customHeight="1" s="38"/>
    <row r="813" ht="15.75" customFormat="1" customHeight="1" s="38"/>
    <row r="814" ht="15.75" customFormat="1" customHeight="1" s="38"/>
    <row r="815" ht="15.75" customFormat="1" customHeight="1" s="38"/>
    <row r="816" ht="15.75" customFormat="1" customHeight="1" s="38"/>
    <row r="817" ht="15.75" customFormat="1" customHeight="1" s="38"/>
    <row r="818" ht="15.75" customFormat="1" customHeight="1" s="38"/>
    <row r="819" ht="15.75" customFormat="1" customHeight="1" s="38"/>
    <row r="820" ht="15.75" customFormat="1" customHeight="1" s="38"/>
    <row r="821" ht="15.75" customFormat="1" customHeight="1" s="38"/>
    <row r="822" ht="15.75" customFormat="1" customHeight="1" s="38"/>
    <row r="823" ht="15.75" customFormat="1" customHeight="1" s="38"/>
    <row r="824" ht="15.75" customFormat="1" customHeight="1" s="38"/>
    <row r="825" ht="15.75" customFormat="1" customHeight="1" s="38"/>
    <row r="826" ht="15.75" customFormat="1" customHeight="1" s="38"/>
    <row r="827" ht="15.75" customFormat="1" customHeight="1" s="38"/>
    <row r="828" ht="15.75" customFormat="1" customHeight="1" s="38"/>
    <row r="829" ht="15.75" customFormat="1" customHeight="1" s="38"/>
    <row r="830" ht="15.75" customFormat="1" customHeight="1" s="38"/>
    <row r="831" ht="15.75" customFormat="1" customHeight="1" s="38"/>
    <row r="832" ht="15.75" customFormat="1" customHeight="1" s="38"/>
    <row r="833" ht="15.75" customFormat="1" customHeight="1" s="38"/>
    <row r="834" ht="15.75" customFormat="1" customHeight="1" s="38"/>
    <row r="835" ht="15.75" customFormat="1" customHeight="1" s="38"/>
    <row r="836" ht="15.75" customFormat="1" customHeight="1" s="38"/>
    <row r="837" ht="15.75" customFormat="1" customHeight="1" s="38"/>
    <row r="838" ht="15.75" customFormat="1" customHeight="1" s="38"/>
    <row r="839" ht="15.75" customFormat="1" customHeight="1" s="38"/>
    <row r="840" ht="15.75" customFormat="1" customHeight="1" s="38"/>
    <row r="841" ht="15.75" customFormat="1" customHeight="1" s="38"/>
    <row r="842" ht="15.75" customFormat="1" customHeight="1" s="38"/>
    <row r="843" ht="15.75" customFormat="1" customHeight="1" s="38"/>
    <row r="844" ht="15.75" customFormat="1" customHeight="1" s="38"/>
    <row r="845" ht="15.75" customFormat="1" customHeight="1" s="38"/>
    <row r="846" ht="15.75" customFormat="1" customHeight="1" s="38"/>
    <row r="847" ht="15.75" customFormat="1" customHeight="1" s="38"/>
    <row r="848" ht="15.75" customFormat="1" customHeight="1" s="38"/>
    <row r="849" ht="15.75" customFormat="1" customHeight="1" s="38"/>
    <row r="850" ht="15.75" customFormat="1" customHeight="1" s="38"/>
    <row r="851" ht="15.75" customFormat="1" customHeight="1" s="38"/>
    <row r="852" ht="15.75" customFormat="1" customHeight="1" s="38"/>
    <row r="853" ht="15.75" customFormat="1" customHeight="1" s="38"/>
    <row r="854" ht="15.75" customFormat="1" customHeight="1" s="38"/>
    <row r="855" ht="15.75" customFormat="1" customHeight="1" s="38"/>
    <row r="856" ht="15.75" customFormat="1" customHeight="1" s="38"/>
    <row r="857" ht="15.75" customFormat="1" customHeight="1" s="38"/>
    <row r="858" ht="15.75" customFormat="1" customHeight="1" s="38"/>
    <row r="859" ht="15.75" customFormat="1" customHeight="1" s="38"/>
    <row r="860" ht="15.75" customFormat="1" customHeight="1" s="38"/>
    <row r="861" ht="15.75" customFormat="1" customHeight="1" s="38"/>
    <row r="862" ht="15.75" customFormat="1" customHeight="1" s="38"/>
    <row r="863" ht="15.75" customFormat="1" customHeight="1" s="38"/>
    <row r="864" ht="15.75" customFormat="1" customHeight="1" s="38"/>
    <row r="865" ht="15.75" customFormat="1" customHeight="1" s="38"/>
    <row r="866" ht="15.75" customFormat="1" customHeight="1" s="38"/>
    <row r="867" ht="15.75" customFormat="1" customHeight="1" s="38"/>
    <row r="868" ht="15.75" customFormat="1" customHeight="1" s="38"/>
    <row r="869" ht="15.75" customFormat="1" customHeight="1" s="38"/>
    <row r="870" ht="15.75" customFormat="1" customHeight="1" s="38"/>
    <row r="871" ht="15.75" customFormat="1" customHeight="1" s="38"/>
    <row r="872" ht="15.75" customFormat="1" customHeight="1" s="38"/>
    <row r="873" ht="15.75" customFormat="1" customHeight="1" s="38"/>
    <row r="874" ht="15.75" customFormat="1" customHeight="1" s="38"/>
    <row r="875" ht="15.75" customFormat="1" customHeight="1" s="38"/>
    <row r="876" ht="15.75" customFormat="1" customHeight="1" s="38"/>
    <row r="877" ht="15.75" customFormat="1" customHeight="1" s="38"/>
    <row r="878" ht="15.75" customFormat="1" customHeight="1" s="38"/>
    <row r="879" ht="15.75" customFormat="1" customHeight="1" s="38"/>
    <row r="880" ht="15.75" customFormat="1" customHeight="1" s="38"/>
    <row r="881" ht="15.75" customFormat="1" customHeight="1" s="38"/>
    <row r="882" ht="15.75" customFormat="1" customHeight="1" s="38"/>
    <row r="883" ht="15.75" customFormat="1" customHeight="1" s="38"/>
    <row r="884" ht="15.75" customFormat="1" customHeight="1" s="38"/>
    <row r="885" ht="15.75" customFormat="1" customHeight="1" s="38"/>
    <row r="886" ht="15.75" customFormat="1" customHeight="1" s="38"/>
    <row r="887" ht="15.75" customFormat="1" customHeight="1" s="38"/>
    <row r="888" ht="15.75" customFormat="1" customHeight="1" s="38"/>
    <row r="889" ht="15.75" customFormat="1" customHeight="1" s="38"/>
    <row r="890" ht="15.75" customFormat="1" customHeight="1" s="38"/>
    <row r="891" ht="15.75" customFormat="1" customHeight="1" s="38"/>
    <row r="892" ht="15.75" customFormat="1" customHeight="1" s="38"/>
    <row r="893" ht="15.75" customFormat="1" customHeight="1" s="38"/>
    <row r="894" ht="15.75" customFormat="1" customHeight="1" s="38"/>
    <row r="895" ht="15.75" customFormat="1" customHeight="1" s="38"/>
    <row r="896" ht="15.75" customFormat="1" customHeight="1" s="38"/>
    <row r="897" ht="15.75" customFormat="1" customHeight="1" s="38"/>
    <row r="898" ht="15.75" customFormat="1" customHeight="1" s="38"/>
    <row r="899" ht="15.75" customFormat="1" customHeight="1" s="38"/>
    <row r="900" ht="15.75" customFormat="1" customHeight="1" s="38"/>
    <row r="901" ht="15.75" customFormat="1" customHeight="1" s="38"/>
    <row r="902" ht="15.75" customFormat="1" customHeight="1" s="38"/>
    <row r="903" ht="15.75" customFormat="1" customHeight="1" s="38"/>
    <row r="904" ht="15.75" customFormat="1" customHeight="1" s="38"/>
    <row r="905" ht="15.75" customFormat="1" customHeight="1" s="38"/>
    <row r="906" ht="15.75" customFormat="1" customHeight="1" s="38"/>
    <row r="907" ht="15.75" customFormat="1" customHeight="1" s="38"/>
    <row r="908" ht="15.75" customFormat="1" customHeight="1" s="38"/>
    <row r="909" ht="15.75" customFormat="1" customHeight="1" s="38"/>
    <row r="910" ht="15.75" customFormat="1" customHeight="1" s="38"/>
    <row r="911" ht="15.75" customFormat="1" customHeight="1" s="38"/>
    <row r="912" ht="15.75" customFormat="1" customHeight="1" s="38"/>
    <row r="913" ht="15.75" customFormat="1" customHeight="1" s="38"/>
    <row r="914" ht="15.75" customFormat="1" customHeight="1" s="38"/>
    <row r="915" ht="15.75" customFormat="1" customHeight="1" s="38"/>
    <row r="916" ht="15.75" customFormat="1" customHeight="1" s="38"/>
    <row r="917" ht="15.75" customFormat="1" customHeight="1" s="38"/>
    <row r="918" ht="15.75" customFormat="1" customHeight="1" s="38"/>
    <row r="919" ht="15.75" customFormat="1" customHeight="1" s="38"/>
    <row r="920" ht="15.75" customFormat="1" customHeight="1" s="38"/>
    <row r="921" ht="15.75" customFormat="1" customHeight="1" s="38"/>
    <row r="922" ht="15.75" customFormat="1" customHeight="1" s="38"/>
    <row r="923" ht="15.75" customFormat="1" customHeight="1" s="38"/>
    <row r="924" ht="15.75" customFormat="1" customHeight="1" s="38"/>
    <row r="925" ht="15.75" customFormat="1" customHeight="1" s="38"/>
    <row r="926" ht="15.75" customFormat="1" customHeight="1" s="38"/>
    <row r="927" ht="15.75" customFormat="1" customHeight="1" s="38"/>
    <row r="928" ht="15.75" customFormat="1" customHeight="1" s="38"/>
    <row r="929" ht="15.75" customFormat="1" customHeight="1" s="38"/>
    <row r="930" ht="15.75" customFormat="1" customHeight="1" s="38"/>
    <row r="931" ht="15.75" customFormat="1" customHeight="1" s="38"/>
    <row r="932" ht="15.75" customFormat="1" customHeight="1" s="38"/>
    <row r="933" ht="15.75" customFormat="1" customHeight="1" s="38"/>
    <row r="934" ht="15.75" customFormat="1" customHeight="1" s="38"/>
    <row r="935" ht="15.75" customFormat="1" customHeight="1" s="38"/>
    <row r="936" ht="15.75" customFormat="1" customHeight="1" s="38"/>
    <row r="937" ht="15.75" customFormat="1" customHeight="1" s="38"/>
    <row r="938" ht="15.75" customFormat="1" customHeight="1" s="38"/>
    <row r="939" ht="15.75" customFormat="1" customHeight="1" s="38"/>
    <row r="940" ht="15.75" customFormat="1" customHeight="1" s="38"/>
    <row r="941" ht="15.75" customFormat="1" customHeight="1" s="38"/>
    <row r="942" ht="15.75" customFormat="1" customHeight="1" s="38"/>
    <row r="943" ht="15.75" customFormat="1" customHeight="1" s="38"/>
    <row r="944" ht="15.75" customFormat="1" customHeight="1" s="38"/>
    <row r="945" ht="15.75" customFormat="1" customHeight="1" s="38"/>
    <row r="946" ht="15.75" customFormat="1" customHeight="1" s="38"/>
    <row r="947" ht="15.75" customFormat="1" customHeight="1" s="38"/>
    <row r="948" ht="15.75" customFormat="1" customHeight="1" s="38"/>
    <row r="949" ht="15.75" customFormat="1" customHeight="1" s="38"/>
    <row r="950" ht="15.75" customFormat="1" customHeight="1" s="38"/>
    <row r="951" ht="15.75" customFormat="1" customHeight="1" s="38"/>
    <row r="952" ht="15.75" customFormat="1" customHeight="1" s="38"/>
    <row r="953" ht="15.75" customFormat="1" customHeight="1" s="38"/>
    <row r="954" ht="15.75" customFormat="1" customHeight="1" s="38"/>
    <row r="955" ht="15.75" customFormat="1" customHeight="1" s="38"/>
    <row r="956" ht="15.75" customFormat="1" customHeight="1" s="38"/>
    <row r="957" ht="15.75" customFormat="1" customHeight="1" s="38"/>
    <row r="958" ht="15.75" customFormat="1" customHeight="1" s="38"/>
    <row r="959" ht="15.75" customFormat="1" customHeight="1" s="38"/>
    <row r="960" ht="15.75" customFormat="1" customHeight="1" s="38"/>
    <row r="961" ht="15.75" customFormat="1" customHeight="1" s="38"/>
    <row r="962" ht="15.75" customFormat="1" customHeight="1" s="38"/>
    <row r="963" ht="15.75" customFormat="1" customHeight="1" s="38"/>
    <row r="964" ht="15.75" customFormat="1" customHeight="1" s="38"/>
    <row r="965" ht="15.75" customFormat="1" customHeight="1" s="38"/>
    <row r="966" ht="15.75" customFormat="1" customHeight="1" s="38"/>
    <row r="967" ht="15.75" customFormat="1" customHeight="1" s="38"/>
    <row r="968" ht="15.75" customFormat="1" customHeight="1" s="38"/>
    <row r="969" ht="15.75" customFormat="1" customHeight="1" s="38"/>
    <row r="970" ht="15.75" customFormat="1" customHeight="1" s="38"/>
    <row r="971" ht="15.75" customFormat="1" customHeight="1" s="38"/>
    <row r="972" ht="15.75" customFormat="1" customHeight="1" s="38"/>
    <row r="973" ht="15.75" customFormat="1" customHeight="1" s="38"/>
    <row r="974" ht="15.75" customFormat="1" customHeight="1" s="38"/>
    <row r="975" ht="15.75" customFormat="1" customHeight="1" s="38"/>
    <row r="976" ht="15.75" customFormat="1" customHeight="1" s="38"/>
    <row r="977" ht="15.75" customFormat="1" customHeight="1" s="38"/>
    <row r="978" ht="15.75" customFormat="1" customHeight="1" s="38"/>
    <row r="979" ht="15.75" customFormat="1" customHeight="1" s="38"/>
    <row r="980" ht="15.75" customFormat="1" customHeight="1" s="38"/>
    <row r="981" ht="15.75" customFormat="1" customHeight="1" s="38"/>
    <row r="982" ht="15.75" customFormat="1" customHeight="1" s="38"/>
    <row r="983" ht="15.75" customFormat="1" customHeight="1" s="38"/>
    <row r="984" ht="15.75" customFormat="1" customHeight="1" s="38"/>
    <row r="985" ht="15.75" customFormat="1" customHeight="1" s="38"/>
    <row r="986" ht="15.75" customFormat="1" customHeight="1" s="38"/>
    <row r="987" ht="15.75" customFormat="1" customHeight="1" s="38"/>
    <row r="988" ht="15.75" customFormat="1" customHeight="1" s="38"/>
    <row r="989" ht="15.75" customFormat="1" customHeight="1" s="38"/>
    <row r="990" ht="15.75" customFormat="1" customHeight="1" s="38"/>
    <row r="991" ht="15.75" customFormat="1" customHeight="1" s="38"/>
    <row r="992" ht="15.75" customFormat="1" customHeight="1" s="38"/>
    <row r="993" ht="15.75" customFormat="1" customHeight="1" s="38"/>
    <row r="994" ht="15.75" customFormat="1" customHeight="1" s="38"/>
    <row r="995" ht="15.75" customFormat="1" customHeight="1" s="38"/>
    <row r="996" ht="15.75" customFormat="1" customHeight="1" s="38"/>
    <row r="997" ht="15.75" customFormat="1" customHeight="1" s="38"/>
    <row r="998" ht="15.75" customFormat="1" customHeight="1" s="38"/>
    <row r="999" ht="15.75" customFormat="1" customHeight="1" s="38"/>
    <row r="1000" ht="15.75" customFormat="1" customHeight="1" s="38"/>
  </sheetData>
  <mergeCells count="1">
    <mergeCell ref="C1:F1"/>
  </mergeCells>
  <dataValidations count="1">
    <dataValidation sqref="F6:F33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tabSelected="1" workbookViewId="0">
      <selection activeCell="F8" sqref="F8"/>
    </sheetView>
  </sheetViews>
  <sheetFormatPr baseColWidth="10" defaultColWidth="14.5" defaultRowHeight="15" customHeight="1"/>
  <cols>
    <col width="12" customWidth="1" style="38" min="1" max="1"/>
    <col width="14" customWidth="1" style="38" min="2" max="2"/>
    <col width="30" customWidth="1" style="38" min="3" max="3"/>
    <col width="15" customWidth="1" style="38" min="4" max="4"/>
    <col width="8.6640625" customWidth="1" style="38" min="5" max="26"/>
    <col width="14.5" customWidth="1" style="38" min="27" max="16384"/>
  </cols>
  <sheetData>
    <row r="1" ht="16" customHeight="1" s="16">
      <c r="A1" s="39" t="inlineStr">
        <is>
          <t>Credit Card - JGW (9299)</t>
        </is>
      </c>
    </row>
    <row r="2" ht="16" customHeight="1" s="16">
      <c r="A2" s="39" t="inlineStr">
        <is>
          <t>Balance Owed</t>
        </is>
      </c>
      <c r="B2" s="39" t="inlineStr">
        <is>
          <t>Charges</t>
        </is>
      </c>
      <c r="C2" s="39" t="inlineStr">
        <is>
          <t>Payments</t>
        </is>
      </c>
      <c r="D2" s="39" t="inlineStr">
        <is>
          <t>Projected</t>
        </is>
      </c>
    </row>
    <row r="3" ht="16" customHeight="1" s="16">
      <c r="A3" s="42">
        <f>IFERROR(-SUMIFS(Accounts!B8:B103,Accounts!A8:A103,"*JGW*",Accounts!C8:C18,"Liability"),0)</f>
        <v/>
      </c>
      <c r="B3" s="42">
        <f>SUMPRODUCT((D6:D200=TRUE)*(B6:B200&lt;0)*B6:B200)</f>
        <v/>
      </c>
      <c r="C3" s="41">
        <f>SUMPRODUCT((D6:D200=TRUE)*(B6:B200&gt;0)*B6:B200)</f>
        <v/>
      </c>
      <c r="D3" s="43">
        <f>A3+B3+C3</f>
        <v/>
      </c>
    </row>
    <row r="5" ht="22.5" customHeight="1" s="16">
      <c r="A5" s="25" t="inlineStr">
        <is>
          <t>Description</t>
        </is>
      </c>
      <c r="B5" s="25" t="inlineStr">
        <is>
          <t>Amount</t>
        </is>
      </c>
      <c r="C5" s="25" t="inlineStr">
        <is>
          <t>Due Date</t>
        </is>
      </c>
      <c r="D5" s="25" t="inlineStr">
        <is>
          <t>In Calc?</t>
        </is>
      </c>
    </row>
    <row r="6" ht="22.5" customHeight="1" s="16">
      <c r="D6" s="44" t="n"/>
    </row>
    <row r="7" ht="22.5" customHeight="1" s="16">
      <c r="D7" s="44" t="n"/>
    </row>
    <row r="8" ht="22.5" customHeight="1" s="16">
      <c r="D8" s="44" t="n"/>
    </row>
    <row r="9" ht="22.5" customHeight="1" s="16">
      <c r="D9" s="44" t="n"/>
    </row>
    <row r="10" ht="22.5" customHeight="1" s="16">
      <c r="D10" s="44" t="n"/>
    </row>
    <row r="11" ht="22.5" customHeight="1" s="16">
      <c r="D11" s="44" t="n"/>
    </row>
    <row r="12" ht="22.5" customHeight="1" s="16">
      <c r="D12" s="44" t="n"/>
    </row>
    <row r="13" ht="22.5" customHeight="1" s="16">
      <c r="D13" s="44" t="n"/>
    </row>
    <row r="14" ht="22.5" customHeight="1" s="16">
      <c r="D14" s="44" t="n"/>
    </row>
    <row r="15" ht="22.5" customHeight="1" s="16">
      <c r="D15" s="44" t="n"/>
    </row>
    <row r="16" ht="22.5" customHeight="1" s="16">
      <c r="D16" s="44" t="n"/>
    </row>
    <row r="17" ht="22.5" customHeight="1" s="16">
      <c r="D17" s="44" t="n"/>
    </row>
    <row r="18" ht="22.5" customHeight="1" s="16">
      <c r="D18" s="44" t="n"/>
    </row>
    <row r="19" ht="22.5" customHeight="1" s="16">
      <c r="D19" s="44" t="n"/>
    </row>
    <row r="20" ht="22.5" customHeight="1" s="16">
      <c r="D20" s="44" t="n"/>
    </row>
    <row r="21" ht="15.75" customHeight="1" s="16">
      <c r="D21" s="44" t="n"/>
    </row>
    <row r="22" ht="15.75" customHeight="1" s="16">
      <c r="D22" s="44" t="n"/>
    </row>
    <row r="23" ht="15.75" customHeight="1" s="16">
      <c r="D23" s="44" t="n"/>
    </row>
    <row r="24" ht="15.75" customHeight="1" s="16">
      <c r="D24" s="44" t="n"/>
    </row>
    <row r="25" ht="15.75" customHeight="1" s="16">
      <c r="D25" s="44" t="n"/>
    </row>
    <row r="26" ht="15.75" customHeight="1" s="16">
      <c r="D26" s="44" t="n"/>
    </row>
    <row r="27" ht="15.75" customHeight="1" s="16">
      <c r="D27" s="44" t="n"/>
    </row>
    <row r="28" ht="15.75" customHeight="1" s="16">
      <c r="D28" s="44" t="n"/>
    </row>
    <row r="29" ht="15.75" customHeight="1" s="16">
      <c r="D29" s="44" t="n"/>
    </row>
    <row r="30" ht="15.75" customHeight="1" s="16">
      <c r="D30" s="44" t="n"/>
    </row>
    <row r="31" ht="15.75" customHeight="1" s="16">
      <c r="D31" s="44" t="n"/>
    </row>
    <row r="32" ht="15.75" customHeight="1" s="16">
      <c r="D32" s="44" t="n"/>
    </row>
    <row r="33" ht="15.75" customHeight="1" s="16">
      <c r="D33" s="44" t="n"/>
    </row>
    <row r="34" ht="15.75" customHeight="1" s="16"/>
    <row r="35" ht="15.75" customHeight="1" s="16"/>
    <row r="36" ht="15.75" customHeight="1" s="16"/>
    <row r="37" ht="15.75" customHeight="1" s="16"/>
    <row r="38" ht="15.75" customHeight="1" s="16"/>
    <row r="39" ht="15.75" customHeight="1" s="16"/>
    <row r="40" ht="15.75" customHeight="1" s="16"/>
    <row r="41" ht="15.75" customHeight="1" s="16"/>
    <row r="42" ht="15.75" customHeight="1" s="16"/>
    <row r="43" ht="15.75" customHeight="1" s="16"/>
    <row r="44" ht="15.75" customHeight="1" s="16"/>
    <row r="45" ht="15.75" customHeight="1" s="16"/>
    <row r="46" ht="15.75" customHeight="1" s="16"/>
    <row r="47" ht="15.75" customHeight="1" s="16"/>
    <row r="48" ht="15.75" customHeight="1" s="16"/>
    <row r="49" ht="15.75" customFormat="1" customHeight="1" s="38"/>
    <row r="50" ht="15.75" customFormat="1" customHeight="1" s="38"/>
    <row r="51" ht="15.75" customFormat="1" customHeight="1" s="38"/>
    <row r="52" ht="15.75" customFormat="1" customHeight="1" s="38"/>
    <row r="53" ht="15.75" customFormat="1" customHeight="1" s="38"/>
    <row r="54" ht="15.75" customFormat="1" customHeight="1" s="38"/>
    <row r="55" ht="15.75" customFormat="1" customHeight="1" s="38"/>
    <row r="56" ht="15.75" customFormat="1" customHeight="1" s="38"/>
    <row r="57" ht="15.75" customFormat="1" customHeight="1" s="38"/>
    <row r="58" ht="15.75" customFormat="1" customHeight="1" s="38"/>
    <row r="59" ht="15.75" customFormat="1" customHeight="1" s="38"/>
    <row r="60" ht="15.75" customFormat="1" customHeight="1" s="38"/>
    <row r="61" ht="15.75" customFormat="1" customHeight="1" s="38"/>
    <row r="62" ht="15.75" customFormat="1" customHeight="1" s="38"/>
    <row r="63" ht="15.75" customFormat="1" customHeight="1" s="38"/>
    <row r="64" ht="15.75" customFormat="1" customHeight="1" s="38"/>
    <row r="65" ht="15.75" customFormat="1" customHeight="1" s="38"/>
    <row r="66" ht="15.75" customFormat="1" customHeight="1" s="38"/>
    <row r="67" ht="15.75" customFormat="1" customHeight="1" s="38"/>
    <row r="68" ht="15.75" customFormat="1" customHeight="1" s="38"/>
    <row r="69" ht="15.75" customFormat="1" customHeight="1" s="38"/>
    <row r="70" ht="15.75" customFormat="1" customHeight="1" s="38"/>
    <row r="71" ht="15.75" customFormat="1" customHeight="1" s="38"/>
    <row r="72" ht="15.75" customFormat="1" customHeight="1" s="38"/>
    <row r="73" ht="15.75" customFormat="1" customHeight="1" s="38"/>
    <row r="74" ht="15.75" customFormat="1" customHeight="1" s="38"/>
    <row r="75" ht="15.75" customFormat="1" customHeight="1" s="38"/>
    <row r="76" ht="15.75" customFormat="1" customHeight="1" s="38"/>
    <row r="77" ht="15.75" customFormat="1" customHeight="1" s="38"/>
    <row r="78" ht="15.75" customFormat="1" customHeight="1" s="38"/>
    <row r="79" ht="15.75" customFormat="1" customHeight="1" s="38"/>
    <row r="80" ht="15.75" customFormat="1" customHeight="1" s="38"/>
    <row r="81" ht="15.75" customFormat="1" customHeight="1" s="38"/>
    <row r="82" ht="15.75" customFormat="1" customHeight="1" s="38"/>
    <row r="83" ht="15.75" customFormat="1" customHeight="1" s="38"/>
    <row r="84" ht="15.75" customFormat="1" customHeight="1" s="38"/>
    <row r="85" ht="15.75" customFormat="1" customHeight="1" s="38"/>
    <row r="86" ht="15.75" customFormat="1" customHeight="1" s="38"/>
    <row r="87" ht="15.75" customFormat="1" customHeight="1" s="38"/>
    <row r="88" ht="15.75" customFormat="1" customHeight="1" s="38"/>
    <row r="89" ht="15.75" customFormat="1" customHeight="1" s="38"/>
    <row r="90" ht="15.75" customFormat="1" customHeight="1" s="38"/>
    <row r="91" ht="15.75" customFormat="1" customHeight="1" s="38"/>
    <row r="92" ht="15.75" customFormat="1" customHeight="1" s="38"/>
    <row r="93" ht="15.75" customFormat="1" customHeight="1" s="38"/>
    <row r="94" ht="15.75" customFormat="1" customHeight="1" s="38"/>
    <row r="95" ht="15.75" customFormat="1" customHeight="1" s="38"/>
    <row r="96" ht="15.75" customFormat="1" customHeight="1" s="38"/>
    <row r="97" ht="15.75" customFormat="1" customHeight="1" s="38"/>
    <row r="98" ht="15.75" customFormat="1" customHeight="1" s="38"/>
    <row r="99" ht="15.75" customFormat="1" customHeight="1" s="38"/>
    <row r="100" ht="15.75" customFormat="1" customHeight="1" s="38"/>
    <row r="101" ht="15.75" customFormat="1" customHeight="1" s="38"/>
    <row r="102" ht="15.75" customFormat="1" customHeight="1" s="38"/>
    <row r="103" ht="15.75" customFormat="1" customHeight="1" s="38"/>
    <row r="104" ht="15.75" customFormat="1" customHeight="1" s="38"/>
    <row r="105" ht="15.75" customFormat="1" customHeight="1" s="38"/>
    <row r="106" ht="15.75" customFormat="1" customHeight="1" s="38"/>
    <row r="107" ht="15.75" customFormat="1" customHeight="1" s="38"/>
    <row r="108" ht="15.75" customFormat="1" customHeight="1" s="38"/>
    <row r="109" ht="15.75" customFormat="1" customHeight="1" s="38"/>
    <row r="110" ht="15.75" customFormat="1" customHeight="1" s="38"/>
    <row r="111" ht="15.75" customFormat="1" customHeight="1" s="38"/>
    <row r="112" ht="15.75" customFormat="1" customHeight="1" s="38"/>
    <row r="113" ht="15.75" customFormat="1" customHeight="1" s="38"/>
    <row r="114" ht="15.75" customFormat="1" customHeight="1" s="38"/>
    <row r="115" ht="15.75" customFormat="1" customHeight="1" s="38"/>
    <row r="116" ht="15.75" customFormat="1" customHeight="1" s="38"/>
    <row r="117" ht="15.75" customFormat="1" customHeight="1" s="38"/>
    <row r="118" ht="15.75" customFormat="1" customHeight="1" s="38"/>
    <row r="119" ht="15.75" customFormat="1" customHeight="1" s="38"/>
    <row r="120" ht="15.75" customFormat="1" customHeight="1" s="38"/>
    <row r="121" ht="15.75" customFormat="1" customHeight="1" s="38"/>
    <row r="122" ht="15.75" customFormat="1" customHeight="1" s="38"/>
    <row r="123" ht="15.75" customFormat="1" customHeight="1" s="38"/>
    <row r="124" ht="15.75" customFormat="1" customHeight="1" s="38"/>
    <row r="125" ht="15.75" customFormat="1" customHeight="1" s="38"/>
    <row r="126" ht="15.75" customFormat="1" customHeight="1" s="38"/>
    <row r="127" ht="15.75" customFormat="1" customHeight="1" s="38"/>
    <row r="128" ht="15.75" customFormat="1" customHeight="1" s="38"/>
    <row r="129" ht="15.75" customFormat="1" customHeight="1" s="38"/>
    <row r="130" ht="15.75" customFormat="1" customHeight="1" s="38"/>
    <row r="131" ht="15.75" customFormat="1" customHeight="1" s="38"/>
    <row r="132" ht="15.75" customFormat="1" customHeight="1" s="38"/>
    <row r="133" ht="15.75" customFormat="1" customHeight="1" s="38"/>
    <row r="134" ht="15.75" customFormat="1" customHeight="1" s="38"/>
    <row r="135" ht="15.75" customFormat="1" customHeight="1" s="38"/>
    <row r="136" ht="15.75" customFormat="1" customHeight="1" s="38"/>
    <row r="137" ht="15.75" customFormat="1" customHeight="1" s="38"/>
    <row r="138" ht="15.75" customFormat="1" customHeight="1" s="38"/>
    <row r="139" ht="15.75" customFormat="1" customHeight="1" s="38"/>
    <row r="140" ht="15.75" customFormat="1" customHeight="1" s="38"/>
    <row r="141" ht="15.75" customFormat="1" customHeight="1" s="38"/>
    <row r="142" ht="15.75" customFormat="1" customHeight="1" s="38"/>
    <row r="143" ht="15.75" customFormat="1" customHeight="1" s="38"/>
    <row r="144" ht="15.75" customFormat="1" customHeight="1" s="38"/>
    <row r="145" ht="15.75" customFormat="1" customHeight="1" s="38"/>
    <row r="146" ht="15.75" customFormat="1" customHeight="1" s="38"/>
    <row r="147" ht="15.75" customFormat="1" customHeight="1" s="38"/>
    <row r="148" ht="15.75" customFormat="1" customHeight="1" s="38"/>
    <row r="149" ht="15.75" customFormat="1" customHeight="1" s="38"/>
    <row r="150" ht="15.75" customFormat="1" customHeight="1" s="38"/>
    <row r="151" ht="15.75" customFormat="1" customHeight="1" s="38"/>
    <row r="152" ht="15.75" customFormat="1" customHeight="1" s="38"/>
    <row r="153" ht="15.75" customFormat="1" customHeight="1" s="38"/>
    <row r="154" ht="15.75" customFormat="1" customHeight="1" s="38"/>
    <row r="155" ht="15.75" customFormat="1" customHeight="1" s="38"/>
    <row r="156" ht="15.75" customFormat="1" customHeight="1" s="38"/>
    <row r="157" ht="15.75" customFormat="1" customHeight="1" s="38"/>
    <row r="158" ht="15.75" customFormat="1" customHeight="1" s="38"/>
    <row r="159" ht="15.75" customFormat="1" customHeight="1" s="38"/>
    <row r="160" ht="15.75" customFormat="1" customHeight="1" s="38"/>
    <row r="161" ht="15.75" customFormat="1" customHeight="1" s="38"/>
    <row r="162" ht="15.75" customFormat="1" customHeight="1" s="38"/>
    <row r="163" ht="15.75" customFormat="1" customHeight="1" s="38"/>
    <row r="164" ht="15.75" customFormat="1" customHeight="1" s="38"/>
    <row r="165" ht="15.75" customFormat="1" customHeight="1" s="38"/>
    <row r="166" ht="15.75" customFormat="1" customHeight="1" s="38"/>
    <row r="167" ht="15.75" customFormat="1" customHeight="1" s="38"/>
    <row r="168" ht="15.75" customFormat="1" customHeight="1" s="38"/>
    <row r="169" ht="15.75" customFormat="1" customHeight="1" s="38"/>
    <row r="170" ht="15.75" customFormat="1" customHeight="1" s="38"/>
    <row r="171" ht="15.75" customFormat="1" customHeight="1" s="38"/>
    <row r="172" ht="15.75" customFormat="1" customHeight="1" s="38"/>
    <row r="173" ht="15.75" customFormat="1" customHeight="1" s="38"/>
    <row r="174" ht="15.75" customFormat="1" customHeight="1" s="38"/>
    <row r="175" ht="15.75" customFormat="1" customHeight="1" s="38"/>
    <row r="176" ht="15.75" customFormat="1" customHeight="1" s="38"/>
    <row r="177" ht="15.75" customFormat="1" customHeight="1" s="38"/>
    <row r="178" ht="15.75" customFormat="1" customHeight="1" s="38"/>
    <row r="179" ht="15.75" customFormat="1" customHeight="1" s="38"/>
    <row r="180" ht="15.75" customFormat="1" customHeight="1" s="38"/>
    <row r="181" ht="15.75" customFormat="1" customHeight="1" s="38"/>
    <row r="182" ht="15.75" customFormat="1" customHeight="1" s="38"/>
    <row r="183" ht="15.75" customFormat="1" customHeight="1" s="38"/>
    <row r="184" ht="15.75" customFormat="1" customHeight="1" s="38"/>
    <row r="185" ht="15.75" customFormat="1" customHeight="1" s="38"/>
    <row r="186" ht="15.75" customFormat="1" customHeight="1" s="38"/>
    <row r="187" ht="15.75" customFormat="1" customHeight="1" s="38"/>
    <row r="188" ht="15.75" customFormat="1" customHeight="1" s="38"/>
    <row r="189" ht="15.75" customFormat="1" customHeight="1" s="38"/>
    <row r="190" ht="15.75" customFormat="1" customHeight="1" s="38"/>
    <row r="191" ht="15.75" customFormat="1" customHeight="1" s="38"/>
    <row r="192" ht="15.75" customFormat="1" customHeight="1" s="38"/>
    <row r="193" ht="15.75" customFormat="1" customHeight="1" s="38"/>
    <row r="194" ht="15.75" customFormat="1" customHeight="1" s="38"/>
    <row r="195" ht="15.75" customFormat="1" customHeight="1" s="38"/>
    <row r="196" ht="15.75" customFormat="1" customHeight="1" s="38"/>
    <row r="197" ht="15.75" customFormat="1" customHeight="1" s="38"/>
    <row r="198" ht="15.75" customFormat="1" customHeight="1" s="38"/>
    <row r="199" ht="15.75" customFormat="1" customHeight="1" s="38"/>
    <row r="200" ht="15.75" customFormat="1" customHeight="1" s="38"/>
    <row r="201" ht="15.75" customFormat="1" customHeight="1" s="38"/>
    <row r="202" ht="15.75" customFormat="1" customHeight="1" s="38"/>
    <row r="203" ht="15.75" customFormat="1" customHeight="1" s="38"/>
    <row r="204" ht="15.75" customFormat="1" customHeight="1" s="38"/>
    <row r="205" ht="15.75" customFormat="1" customHeight="1" s="38"/>
    <row r="206" ht="15.75" customFormat="1" customHeight="1" s="38"/>
    <row r="207" ht="15.75" customFormat="1" customHeight="1" s="38"/>
    <row r="208" ht="15.75" customFormat="1" customHeight="1" s="38"/>
    <row r="209" ht="15.75" customFormat="1" customHeight="1" s="38"/>
    <row r="210" ht="15.75" customFormat="1" customHeight="1" s="38"/>
    <row r="211" ht="15.75" customFormat="1" customHeight="1" s="38"/>
    <row r="212" ht="15.75" customFormat="1" customHeight="1" s="38"/>
    <row r="213" ht="15.75" customFormat="1" customHeight="1" s="38"/>
    <row r="214" ht="15.75" customFormat="1" customHeight="1" s="38"/>
    <row r="215" ht="15.75" customFormat="1" customHeight="1" s="38"/>
    <row r="216" ht="15.75" customFormat="1" customHeight="1" s="38"/>
    <row r="217" ht="15.75" customFormat="1" customHeight="1" s="38"/>
    <row r="218" ht="15.75" customFormat="1" customHeight="1" s="38"/>
    <row r="219" ht="15.75" customFormat="1" customHeight="1" s="38"/>
    <row r="220" ht="15.75" customFormat="1" customHeight="1" s="38"/>
    <row r="221" ht="15.75" customFormat="1" customHeight="1" s="38"/>
    <row r="222" ht="15.75" customFormat="1" customHeight="1" s="38"/>
    <row r="223" ht="15.75" customFormat="1" customHeight="1" s="38"/>
    <row r="224" ht="15.75" customFormat="1" customHeight="1" s="38"/>
    <row r="225" ht="15.75" customFormat="1" customHeight="1" s="38"/>
    <row r="226" ht="15.75" customFormat="1" customHeight="1" s="38"/>
    <row r="227" ht="15.75" customFormat="1" customHeight="1" s="38"/>
    <row r="228" ht="15.75" customFormat="1" customHeight="1" s="38"/>
    <row r="229" ht="15.75" customFormat="1" customHeight="1" s="38"/>
    <row r="230" ht="15.75" customFormat="1" customHeight="1" s="38"/>
    <row r="231" ht="15.75" customFormat="1" customHeight="1" s="38"/>
    <row r="232" ht="15.75" customFormat="1" customHeight="1" s="38"/>
    <row r="233" ht="15.75" customFormat="1" customHeight="1" s="38"/>
    <row r="234" ht="15.75" customFormat="1" customHeight="1" s="38"/>
    <row r="235" ht="15.75" customFormat="1" customHeight="1" s="38"/>
    <row r="236" ht="15.75" customFormat="1" customHeight="1" s="38"/>
    <row r="237" ht="15.75" customFormat="1" customHeight="1" s="38"/>
    <row r="238" ht="15.75" customFormat="1" customHeight="1" s="38"/>
    <row r="239" ht="15.75" customFormat="1" customHeight="1" s="38"/>
    <row r="240" ht="15.75" customFormat="1" customHeight="1" s="38"/>
    <row r="241" ht="15.75" customFormat="1" customHeight="1" s="38"/>
    <row r="242" ht="15.75" customFormat="1" customHeight="1" s="38"/>
    <row r="243" ht="15.75" customFormat="1" customHeight="1" s="38"/>
    <row r="244" ht="15.75" customFormat="1" customHeight="1" s="38"/>
    <row r="245" ht="15.75" customFormat="1" customHeight="1" s="38"/>
    <row r="246" ht="15.75" customFormat="1" customHeight="1" s="38"/>
    <row r="247" ht="15.75" customFormat="1" customHeight="1" s="38"/>
    <row r="248" ht="15.75" customFormat="1" customHeight="1" s="38"/>
    <row r="249" ht="15.75" customFormat="1" customHeight="1" s="38"/>
    <row r="250" ht="15.75" customFormat="1" customHeight="1" s="38"/>
    <row r="251" ht="15.75" customFormat="1" customHeight="1" s="38"/>
    <row r="252" ht="15.75" customFormat="1" customHeight="1" s="38"/>
    <row r="253" ht="15.75" customFormat="1" customHeight="1" s="38"/>
    <row r="254" ht="15.75" customFormat="1" customHeight="1" s="38"/>
    <row r="255" ht="15.75" customFormat="1" customHeight="1" s="38"/>
    <row r="256" ht="15.75" customFormat="1" customHeight="1" s="38"/>
    <row r="257" ht="15.75" customFormat="1" customHeight="1" s="38"/>
    <row r="258" ht="15.75" customFormat="1" customHeight="1" s="38"/>
    <row r="259" ht="15.75" customFormat="1" customHeight="1" s="38"/>
    <row r="260" ht="15.75" customFormat="1" customHeight="1" s="38"/>
    <row r="261" ht="15.75" customFormat="1" customHeight="1" s="38"/>
    <row r="262" ht="15.75" customFormat="1" customHeight="1" s="38"/>
    <row r="263" ht="15.75" customFormat="1" customHeight="1" s="38"/>
    <row r="264" ht="15.75" customFormat="1" customHeight="1" s="38"/>
    <row r="265" ht="15.75" customFormat="1" customHeight="1" s="38"/>
    <row r="266" ht="15.75" customFormat="1" customHeight="1" s="38"/>
    <row r="267" ht="15.75" customFormat="1" customHeight="1" s="38"/>
    <row r="268" ht="15.75" customFormat="1" customHeight="1" s="38"/>
    <row r="269" ht="15.75" customFormat="1" customHeight="1" s="38"/>
    <row r="270" ht="15.75" customFormat="1" customHeight="1" s="38"/>
    <row r="271" ht="15.75" customFormat="1" customHeight="1" s="38"/>
    <row r="272" ht="15.75" customFormat="1" customHeight="1" s="38"/>
    <row r="273" ht="15.75" customFormat="1" customHeight="1" s="38"/>
    <row r="274" ht="15.75" customFormat="1" customHeight="1" s="38"/>
    <row r="275" ht="15.75" customFormat="1" customHeight="1" s="38"/>
    <row r="276" ht="15.75" customFormat="1" customHeight="1" s="38"/>
    <row r="277" ht="15.75" customFormat="1" customHeight="1" s="38"/>
    <row r="278" ht="15.75" customFormat="1" customHeight="1" s="38"/>
    <row r="279" ht="15.75" customFormat="1" customHeight="1" s="38"/>
    <row r="280" ht="15.75" customFormat="1" customHeight="1" s="38"/>
    <row r="281" ht="15.75" customFormat="1" customHeight="1" s="38"/>
    <row r="282" ht="15.75" customFormat="1" customHeight="1" s="38"/>
    <row r="283" ht="15.75" customFormat="1" customHeight="1" s="38"/>
    <row r="284" ht="15.75" customFormat="1" customHeight="1" s="38"/>
    <row r="285" ht="15.75" customFormat="1" customHeight="1" s="38"/>
    <row r="286" ht="15.75" customFormat="1" customHeight="1" s="38"/>
    <row r="287" ht="15.75" customFormat="1" customHeight="1" s="38"/>
    <row r="288" ht="15.75" customFormat="1" customHeight="1" s="38"/>
    <row r="289" ht="15.75" customFormat="1" customHeight="1" s="38"/>
    <row r="290" ht="15.75" customFormat="1" customHeight="1" s="38"/>
    <row r="291" ht="15.75" customFormat="1" customHeight="1" s="38"/>
    <row r="292" ht="15.75" customFormat="1" customHeight="1" s="38"/>
    <row r="293" ht="15.75" customFormat="1" customHeight="1" s="38"/>
    <row r="294" ht="15.75" customFormat="1" customHeight="1" s="38"/>
    <row r="295" ht="15.75" customFormat="1" customHeight="1" s="38"/>
    <row r="296" ht="15.75" customFormat="1" customHeight="1" s="38"/>
    <row r="297" ht="15.75" customFormat="1" customHeight="1" s="38"/>
    <row r="298" ht="15.75" customFormat="1" customHeight="1" s="38"/>
    <row r="299" ht="15.75" customFormat="1" customHeight="1" s="38"/>
    <row r="300" ht="15.75" customFormat="1" customHeight="1" s="38"/>
    <row r="301" ht="15.75" customFormat="1" customHeight="1" s="38"/>
    <row r="302" ht="15.75" customFormat="1" customHeight="1" s="38"/>
    <row r="303" ht="15.75" customFormat="1" customHeight="1" s="38"/>
    <row r="304" ht="15.75" customFormat="1" customHeight="1" s="38"/>
    <row r="305" ht="15.75" customFormat="1" customHeight="1" s="38"/>
    <row r="306" ht="15.75" customFormat="1" customHeight="1" s="38"/>
    <row r="307" ht="15.75" customFormat="1" customHeight="1" s="38"/>
    <row r="308" ht="15.75" customFormat="1" customHeight="1" s="38"/>
    <row r="309" ht="15.75" customFormat="1" customHeight="1" s="38"/>
    <row r="310" ht="15.75" customFormat="1" customHeight="1" s="38"/>
    <row r="311" ht="15.75" customFormat="1" customHeight="1" s="38"/>
    <row r="312" ht="15.75" customFormat="1" customHeight="1" s="38"/>
    <row r="313" ht="15.75" customFormat="1" customHeight="1" s="38"/>
    <row r="314" ht="15.75" customFormat="1" customHeight="1" s="38"/>
    <row r="315" ht="15.75" customFormat="1" customHeight="1" s="38"/>
    <row r="316" ht="15.75" customFormat="1" customHeight="1" s="38"/>
    <row r="317" ht="15.75" customFormat="1" customHeight="1" s="38"/>
    <row r="318" ht="15.75" customFormat="1" customHeight="1" s="38"/>
    <row r="319" ht="15.75" customFormat="1" customHeight="1" s="38"/>
    <row r="320" ht="15.75" customFormat="1" customHeight="1" s="38"/>
    <row r="321" ht="15.75" customFormat="1" customHeight="1" s="38"/>
    <row r="322" ht="15.75" customFormat="1" customHeight="1" s="38"/>
    <row r="323" ht="15.75" customFormat="1" customHeight="1" s="38"/>
    <row r="324" ht="15.75" customFormat="1" customHeight="1" s="38"/>
    <row r="325" ht="15.75" customFormat="1" customHeight="1" s="38"/>
    <row r="326" ht="15.75" customFormat="1" customHeight="1" s="38"/>
    <row r="327" ht="15.75" customFormat="1" customHeight="1" s="38"/>
    <row r="328" ht="15.75" customFormat="1" customHeight="1" s="38"/>
    <row r="329" ht="15.75" customFormat="1" customHeight="1" s="38"/>
    <row r="330" ht="15.75" customFormat="1" customHeight="1" s="38"/>
    <row r="331" ht="15.75" customFormat="1" customHeight="1" s="38"/>
    <row r="332" ht="15.75" customFormat="1" customHeight="1" s="38"/>
    <row r="333" ht="15.75" customFormat="1" customHeight="1" s="38"/>
    <row r="334" ht="15.75" customFormat="1" customHeight="1" s="38"/>
    <row r="335" ht="15.75" customFormat="1" customHeight="1" s="38"/>
    <row r="336" ht="15.75" customFormat="1" customHeight="1" s="38"/>
    <row r="337" ht="15.75" customFormat="1" customHeight="1" s="38"/>
    <row r="338" ht="15.75" customFormat="1" customHeight="1" s="38"/>
    <row r="339" ht="15.75" customFormat="1" customHeight="1" s="38"/>
    <row r="340" ht="15.75" customFormat="1" customHeight="1" s="38"/>
    <row r="341" ht="15.75" customFormat="1" customHeight="1" s="38"/>
    <row r="342" ht="15.75" customFormat="1" customHeight="1" s="38"/>
    <row r="343" ht="15.75" customFormat="1" customHeight="1" s="38"/>
    <row r="344" ht="15.75" customFormat="1" customHeight="1" s="38"/>
    <row r="345" ht="15.75" customFormat="1" customHeight="1" s="38"/>
    <row r="346" ht="15.75" customFormat="1" customHeight="1" s="38"/>
    <row r="347" ht="15.75" customFormat="1" customHeight="1" s="38"/>
    <row r="348" ht="15.75" customFormat="1" customHeight="1" s="38"/>
    <row r="349" ht="15.75" customFormat="1" customHeight="1" s="38"/>
    <row r="350" ht="15.75" customFormat="1" customHeight="1" s="38"/>
    <row r="351" ht="15.75" customFormat="1" customHeight="1" s="38"/>
    <row r="352" ht="15.75" customFormat="1" customHeight="1" s="38"/>
    <row r="353" ht="15.75" customFormat="1" customHeight="1" s="38"/>
    <row r="354" ht="15.75" customFormat="1" customHeight="1" s="38"/>
    <row r="355" ht="15.75" customFormat="1" customHeight="1" s="38"/>
    <row r="356" ht="15.75" customFormat="1" customHeight="1" s="38"/>
    <row r="357" ht="15.75" customFormat="1" customHeight="1" s="38"/>
    <row r="358" ht="15.75" customFormat="1" customHeight="1" s="38"/>
    <row r="359" ht="15.75" customFormat="1" customHeight="1" s="38"/>
    <row r="360" ht="15.75" customFormat="1" customHeight="1" s="38"/>
    <row r="361" ht="15.75" customFormat="1" customHeight="1" s="38"/>
    <row r="362" ht="15.75" customFormat="1" customHeight="1" s="38"/>
    <row r="363" ht="15.75" customFormat="1" customHeight="1" s="38"/>
    <row r="364" ht="15.75" customFormat="1" customHeight="1" s="38"/>
    <row r="365" ht="15.75" customFormat="1" customHeight="1" s="38"/>
    <row r="366" ht="15.75" customFormat="1" customHeight="1" s="38"/>
    <row r="367" ht="15.75" customFormat="1" customHeight="1" s="38"/>
    <row r="368" ht="15.75" customFormat="1" customHeight="1" s="38"/>
    <row r="369" ht="15.75" customFormat="1" customHeight="1" s="38"/>
    <row r="370" ht="15.75" customFormat="1" customHeight="1" s="38"/>
    <row r="371" ht="15.75" customFormat="1" customHeight="1" s="38"/>
    <row r="372" ht="15.75" customFormat="1" customHeight="1" s="38"/>
    <row r="373" ht="15.75" customFormat="1" customHeight="1" s="38"/>
    <row r="374" ht="15.75" customFormat="1" customHeight="1" s="38"/>
    <row r="375" ht="15.75" customFormat="1" customHeight="1" s="38"/>
    <row r="376" ht="15.75" customFormat="1" customHeight="1" s="38"/>
    <row r="377" ht="15.75" customFormat="1" customHeight="1" s="38"/>
    <row r="378" ht="15.75" customFormat="1" customHeight="1" s="38"/>
    <row r="379" ht="15.75" customFormat="1" customHeight="1" s="38"/>
    <row r="380" ht="15.75" customFormat="1" customHeight="1" s="38"/>
    <row r="381" ht="15.75" customFormat="1" customHeight="1" s="38"/>
    <row r="382" ht="15.75" customFormat="1" customHeight="1" s="38"/>
    <row r="383" ht="15.75" customFormat="1" customHeight="1" s="38"/>
    <row r="384" ht="15.75" customFormat="1" customHeight="1" s="38"/>
    <row r="385" ht="15.75" customFormat="1" customHeight="1" s="38"/>
    <row r="386" ht="15.75" customFormat="1" customHeight="1" s="38"/>
    <row r="387" ht="15.75" customFormat="1" customHeight="1" s="38"/>
    <row r="388" ht="15.75" customFormat="1" customHeight="1" s="38"/>
    <row r="389" ht="15.75" customFormat="1" customHeight="1" s="38"/>
    <row r="390" ht="15.75" customFormat="1" customHeight="1" s="38"/>
    <row r="391" ht="15.75" customFormat="1" customHeight="1" s="38"/>
    <row r="392" ht="15.75" customFormat="1" customHeight="1" s="38"/>
    <row r="393" ht="15.75" customFormat="1" customHeight="1" s="38"/>
    <row r="394" ht="15.75" customFormat="1" customHeight="1" s="38"/>
    <row r="395" ht="15.75" customFormat="1" customHeight="1" s="38"/>
    <row r="396" ht="15.75" customFormat="1" customHeight="1" s="38"/>
    <row r="397" ht="15.75" customFormat="1" customHeight="1" s="38"/>
    <row r="398" ht="15.75" customFormat="1" customHeight="1" s="38"/>
    <row r="399" ht="15.75" customFormat="1" customHeight="1" s="38"/>
    <row r="400" ht="15.75" customFormat="1" customHeight="1" s="38"/>
    <row r="401" ht="15.75" customFormat="1" customHeight="1" s="38"/>
    <row r="402" ht="15.75" customFormat="1" customHeight="1" s="38"/>
    <row r="403" ht="15.75" customFormat="1" customHeight="1" s="38"/>
    <row r="404" ht="15.75" customFormat="1" customHeight="1" s="38"/>
    <row r="405" ht="15.75" customFormat="1" customHeight="1" s="38"/>
    <row r="406" ht="15.75" customFormat="1" customHeight="1" s="38"/>
    <row r="407" ht="15.75" customFormat="1" customHeight="1" s="38"/>
    <row r="408" ht="15.75" customFormat="1" customHeight="1" s="38"/>
    <row r="409" ht="15.75" customFormat="1" customHeight="1" s="38"/>
    <row r="410" ht="15.75" customFormat="1" customHeight="1" s="38"/>
    <row r="411" ht="15.75" customFormat="1" customHeight="1" s="38"/>
    <row r="412" ht="15.75" customFormat="1" customHeight="1" s="38"/>
    <row r="413" ht="15.75" customFormat="1" customHeight="1" s="38"/>
    <row r="414" ht="15.75" customFormat="1" customHeight="1" s="38"/>
    <row r="415" ht="15.75" customFormat="1" customHeight="1" s="38"/>
    <row r="416" ht="15.75" customFormat="1" customHeight="1" s="38"/>
    <row r="417" ht="15.75" customFormat="1" customHeight="1" s="38"/>
    <row r="418" ht="15.75" customFormat="1" customHeight="1" s="38"/>
    <row r="419" ht="15.75" customFormat="1" customHeight="1" s="38"/>
    <row r="420" ht="15.75" customFormat="1" customHeight="1" s="38"/>
    <row r="421" ht="15.75" customFormat="1" customHeight="1" s="38"/>
    <row r="422" ht="15.75" customFormat="1" customHeight="1" s="38"/>
    <row r="423" ht="15.75" customFormat="1" customHeight="1" s="38"/>
    <row r="424" ht="15.75" customFormat="1" customHeight="1" s="38"/>
    <row r="425" ht="15.75" customFormat="1" customHeight="1" s="38"/>
    <row r="426" ht="15.75" customFormat="1" customHeight="1" s="38"/>
    <row r="427" ht="15.75" customFormat="1" customHeight="1" s="38"/>
    <row r="428" ht="15.75" customFormat="1" customHeight="1" s="38"/>
    <row r="429" ht="15.75" customFormat="1" customHeight="1" s="38"/>
    <row r="430" ht="15.75" customFormat="1" customHeight="1" s="38"/>
    <row r="431" ht="15.75" customFormat="1" customHeight="1" s="38"/>
    <row r="432" ht="15.75" customFormat="1" customHeight="1" s="38"/>
    <row r="433" ht="15.75" customFormat="1" customHeight="1" s="38"/>
    <row r="434" ht="15.75" customFormat="1" customHeight="1" s="38"/>
    <row r="435" ht="15.75" customFormat="1" customHeight="1" s="38"/>
    <row r="436" ht="15.75" customFormat="1" customHeight="1" s="38"/>
    <row r="437" ht="15.75" customFormat="1" customHeight="1" s="38"/>
    <row r="438" ht="15.75" customFormat="1" customHeight="1" s="38"/>
    <row r="439" ht="15.75" customFormat="1" customHeight="1" s="38"/>
    <row r="440" ht="15.75" customFormat="1" customHeight="1" s="38"/>
    <row r="441" ht="15.75" customFormat="1" customHeight="1" s="38"/>
    <row r="442" ht="15.75" customFormat="1" customHeight="1" s="38"/>
    <row r="443" ht="15.75" customFormat="1" customHeight="1" s="38"/>
    <row r="444" ht="15.75" customFormat="1" customHeight="1" s="38"/>
    <row r="445" ht="15.75" customFormat="1" customHeight="1" s="38"/>
    <row r="446" ht="15.75" customFormat="1" customHeight="1" s="38"/>
    <row r="447" ht="15.75" customFormat="1" customHeight="1" s="38"/>
    <row r="448" ht="15.75" customFormat="1" customHeight="1" s="38"/>
    <row r="449" ht="15.75" customFormat="1" customHeight="1" s="38"/>
    <row r="450" ht="15.75" customFormat="1" customHeight="1" s="38"/>
    <row r="451" ht="15.75" customFormat="1" customHeight="1" s="38"/>
    <row r="452" ht="15.75" customFormat="1" customHeight="1" s="38"/>
    <row r="453" ht="15.75" customFormat="1" customHeight="1" s="38"/>
    <row r="454" ht="15.75" customFormat="1" customHeight="1" s="38"/>
    <row r="455" ht="15.75" customFormat="1" customHeight="1" s="38"/>
    <row r="456" ht="15.75" customFormat="1" customHeight="1" s="38"/>
    <row r="457" ht="15.75" customFormat="1" customHeight="1" s="38"/>
    <row r="458" ht="15.75" customFormat="1" customHeight="1" s="38"/>
    <row r="459" ht="15.75" customFormat="1" customHeight="1" s="38"/>
    <row r="460" ht="15.75" customFormat="1" customHeight="1" s="38"/>
    <row r="461" ht="15.75" customFormat="1" customHeight="1" s="38"/>
    <row r="462" ht="15.75" customFormat="1" customHeight="1" s="38"/>
    <row r="463" ht="15.75" customFormat="1" customHeight="1" s="38"/>
    <row r="464" ht="15.75" customFormat="1" customHeight="1" s="38"/>
    <row r="465" ht="15.75" customFormat="1" customHeight="1" s="38"/>
    <row r="466" ht="15.75" customFormat="1" customHeight="1" s="38"/>
    <row r="467" ht="15.75" customFormat="1" customHeight="1" s="38"/>
    <row r="468" ht="15.75" customFormat="1" customHeight="1" s="38"/>
    <row r="469" ht="15.75" customFormat="1" customHeight="1" s="38"/>
    <row r="470" ht="15.75" customFormat="1" customHeight="1" s="38"/>
    <row r="471" ht="15.75" customFormat="1" customHeight="1" s="38"/>
    <row r="472" ht="15.75" customFormat="1" customHeight="1" s="38"/>
    <row r="473" ht="15.75" customFormat="1" customHeight="1" s="38"/>
    <row r="474" ht="15.75" customFormat="1" customHeight="1" s="38"/>
    <row r="475" ht="15.75" customFormat="1" customHeight="1" s="38"/>
    <row r="476" ht="15.75" customFormat="1" customHeight="1" s="38"/>
    <row r="477" ht="15.75" customFormat="1" customHeight="1" s="38"/>
    <row r="478" ht="15.75" customFormat="1" customHeight="1" s="38"/>
    <row r="479" ht="15.75" customFormat="1" customHeight="1" s="38"/>
    <row r="480" ht="15.75" customFormat="1" customHeight="1" s="38"/>
    <row r="481" ht="15.75" customFormat="1" customHeight="1" s="38"/>
    <row r="482" ht="15.75" customFormat="1" customHeight="1" s="38"/>
    <row r="483" ht="15.75" customFormat="1" customHeight="1" s="38"/>
    <row r="484" ht="15.75" customFormat="1" customHeight="1" s="38"/>
    <row r="485" ht="15.75" customFormat="1" customHeight="1" s="38"/>
    <row r="486" ht="15.75" customFormat="1" customHeight="1" s="38"/>
    <row r="487" ht="15.75" customFormat="1" customHeight="1" s="38"/>
    <row r="488" ht="15.75" customFormat="1" customHeight="1" s="38"/>
    <row r="489" ht="15.75" customFormat="1" customHeight="1" s="38"/>
    <row r="490" ht="15.75" customFormat="1" customHeight="1" s="38"/>
    <row r="491" ht="15.75" customFormat="1" customHeight="1" s="38"/>
    <row r="492" ht="15.75" customFormat="1" customHeight="1" s="38"/>
    <row r="493" ht="15.75" customFormat="1" customHeight="1" s="38"/>
    <row r="494" ht="15.75" customFormat="1" customHeight="1" s="38"/>
    <row r="495" ht="15.75" customFormat="1" customHeight="1" s="38"/>
    <row r="496" ht="15.75" customFormat="1" customHeight="1" s="38"/>
    <row r="497" ht="15.75" customFormat="1" customHeight="1" s="38"/>
    <row r="498" ht="15.75" customFormat="1" customHeight="1" s="38"/>
    <row r="499" ht="15.75" customFormat="1" customHeight="1" s="38"/>
    <row r="500" ht="15.75" customFormat="1" customHeight="1" s="38"/>
    <row r="501" ht="15.75" customFormat="1" customHeight="1" s="38"/>
    <row r="502" ht="15.75" customFormat="1" customHeight="1" s="38"/>
    <row r="503" ht="15.75" customFormat="1" customHeight="1" s="38"/>
    <row r="504" ht="15.75" customFormat="1" customHeight="1" s="38"/>
    <row r="505" ht="15.75" customFormat="1" customHeight="1" s="38"/>
    <row r="506" ht="15.75" customFormat="1" customHeight="1" s="38"/>
    <row r="507" ht="15.75" customFormat="1" customHeight="1" s="38"/>
    <row r="508" ht="15.75" customFormat="1" customHeight="1" s="38"/>
    <row r="509" ht="15.75" customFormat="1" customHeight="1" s="38"/>
    <row r="510" ht="15.75" customFormat="1" customHeight="1" s="38"/>
    <row r="511" ht="15.75" customFormat="1" customHeight="1" s="38"/>
    <row r="512" ht="15.75" customFormat="1" customHeight="1" s="38"/>
    <row r="513" ht="15.75" customFormat="1" customHeight="1" s="38"/>
    <row r="514" ht="15.75" customFormat="1" customHeight="1" s="38"/>
    <row r="515" ht="15.75" customFormat="1" customHeight="1" s="38"/>
    <row r="516" ht="15.75" customFormat="1" customHeight="1" s="38"/>
    <row r="517" ht="15.75" customFormat="1" customHeight="1" s="38"/>
    <row r="518" ht="15.75" customFormat="1" customHeight="1" s="38"/>
    <row r="519" ht="15.75" customFormat="1" customHeight="1" s="38"/>
    <row r="520" ht="15.75" customFormat="1" customHeight="1" s="38"/>
    <row r="521" ht="15.75" customFormat="1" customHeight="1" s="38"/>
    <row r="522" ht="15.75" customFormat="1" customHeight="1" s="38"/>
    <row r="523" ht="15.75" customFormat="1" customHeight="1" s="38"/>
    <row r="524" ht="15.75" customFormat="1" customHeight="1" s="38"/>
    <row r="525" ht="15.75" customFormat="1" customHeight="1" s="38"/>
    <row r="526" ht="15.75" customFormat="1" customHeight="1" s="38"/>
    <row r="527" ht="15.75" customFormat="1" customHeight="1" s="38"/>
    <row r="528" ht="15.75" customFormat="1" customHeight="1" s="38"/>
    <row r="529" ht="15.75" customFormat="1" customHeight="1" s="38"/>
    <row r="530" ht="15.75" customFormat="1" customHeight="1" s="38"/>
    <row r="531" ht="15.75" customFormat="1" customHeight="1" s="38"/>
    <row r="532" ht="15.75" customFormat="1" customHeight="1" s="38"/>
    <row r="533" ht="15.75" customFormat="1" customHeight="1" s="38"/>
    <row r="534" ht="15.75" customFormat="1" customHeight="1" s="38"/>
    <row r="535" ht="15.75" customFormat="1" customHeight="1" s="38"/>
    <row r="536" ht="15.75" customFormat="1" customHeight="1" s="38"/>
    <row r="537" ht="15.75" customFormat="1" customHeight="1" s="38"/>
    <row r="538" ht="15.75" customFormat="1" customHeight="1" s="38"/>
    <row r="539" ht="15.75" customFormat="1" customHeight="1" s="38"/>
    <row r="540" ht="15.75" customFormat="1" customHeight="1" s="38"/>
    <row r="541" ht="15.75" customFormat="1" customHeight="1" s="38"/>
    <row r="542" ht="15.75" customFormat="1" customHeight="1" s="38"/>
    <row r="543" ht="15.75" customFormat="1" customHeight="1" s="38"/>
    <row r="544" ht="15.75" customFormat="1" customHeight="1" s="38"/>
    <row r="545" ht="15.75" customFormat="1" customHeight="1" s="38"/>
    <row r="546" ht="15.75" customFormat="1" customHeight="1" s="38"/>
    <row r="547" ht="15.75" customFormat="1" customHeight="1" s="38"/>
    <row r="548" ht="15.75" customFormat="1" customHeight="1" s="38"/>
    <row r="549" ht="15.75" customFormat="1" customHeight="1" s="38"/>
    <row r="550" ht="15.75" customFormat="1" customHeight="1" s="38"/>
    <row r="551" ht="15.75" customFormat="1" customHeight="1" s="38"/>
    <row r="552" ht="15.75" customFormat="1" customHeight="1" s="38"/>
    <row r="553" ht="15.75" customFormat="1" customHeight="1" s="38"/>
    <row r="554" ht="15.75" customFormat="1" customHeight="1" s="38"/>
    <row r="555" ht="15.75" customFormat="1" customHeight="1" s="38"/>
    <row r="556" ht="15.75" customFormat="1" customHeight="1" s="38"/>
    <row r="557" ht="15.75" customFormat="1" customHeight="1" s="38"/>
    <row r="558" ht="15.75" customFormat="1" customHeight="1" s="38"/>
    <row r="559" ht="15.75" customFormat="1" customHeight="1" s="38"/>
    <row r="560" ht="15.75" customFormat="1" customHeight="1" s="38"/>
    <row r="561" ht="15.75" customFormat="1" customHeight="1" s="38"/>
    <row r="562" ht="15.75" customFormat="1" customHeight="1" s="38"/>
    <row r="563" ht="15.75" customFormat="1" customHeight="1" s="38"/>
    <row r="564" ht="15.75" customFormat="1" customHeight="1" s="38"/>
    <row r="565" ht="15.75" customFormat="1" customHeight="1" s="38"/>
    <row r="566" ht="15.75" customFormat="1" customHeight="1" s="38"/>
    <row r="567" ht="15.75" customFormat="1" customHeight="1" s="38"/>
    <row r="568" ht="15.75" customFormat="1" customHeight="1" s="38"/>
    <row r="569" ht="15.75" customFormat="1" customHeight="1" s="38"/>
    <row r="570" ht="15.75" customFormat="1" customHeight="1" s="38"/>
    <row r="571" ht="15.75" customFormat="1" customHeight="1" s="38"/>
    <row r="572" ht="15.75" customFormat="1" customHeight="1" s="38"/>
    <row r="573" ht="15.75" customFormat="1" customHeight="1" s="38"/>
    <row r="574" ht="15.75" customFormat="1" customHeight="1" s="38"/>
    <row r="575" ht="15.75" customFormat="1" customHeight="1" s="38"/>
    <row r="576" ht="15.75" customFormat="1" customHeight="1" s="38"/>
    <row r="577" ht="15.75" customFormat="1" customHeight="1" s="38"/>
    <row r="578" ht="15.75" customFormat="1" customHeight="1" s="38"/>
    <row r="579" ht="15.75" customFormat="1" customHeight="1" s="38"/>
    <row r="580" ht="15.75" customFormat="1" customHeight="1" s="38"/>
    <row r="581" ht="15.75" customFormat="1" customHeight="1" s="38"/>
    <row r="582" ht="15.75" customFormat="1" customHeight="1" s="38"/>
    <row r="583" ht="15.75" customFormat="1" customHeight="1" s="38"/>
    <row r="584" ht="15.75" customFormat="1" customHeight="1" s="38"/>
    <row r="585" ht="15.75" customFormat="1" customHeight="1" s="38"/>
    <row r="586" ht="15.75" customFormat="1" customHeight="1" s="38"/>
    <row r="587" ht="15.75" customFormat="1" customHeight="1" s="38"/>
    <row r="588" ht="15.75" customFormat="1" customHeight="1" s="38"/>
    <row r="589" ht="15.75" customFormat="1" customHeight="1" s="38"/>
    <row r="590" ht="15.75" customFormat="1" customHeight="1" s="38"/>
    <row r="591" ht="15.75" customFormat="1" customHeight="1" s="38"/>
    <row r="592" ht="15.75" customFormat="1" customHeight="1" s="38"/>
    <row r="593" ht="15.75" customFormat="1" customHeight="1" s="38"/>
    <row r="594" ht="15.75" customFormat="1" customHeight="1" s="38"/>
    <row r="595" ht="15.75" customFormat="1" customHeight="1" s="38"/>
    <row r="596" ht="15.75" customFormat="1" customHeight="1" s="38"/>
    <row r="597" ht="15.75" customFormat="1" customHeight="1" s="38"/>
    <row r="598" ht="15.75" customFormat="1" customHeight="1" s="38"/>
    <row r="599" ht="15.75" customFormat="1" customHeight="1" s="38"/>
    <row r="600" ht="15.75" customFormat="1" customHeight="1" s="38"/>
    <row r="601" ht="15.75" customFormat="1" customHeight="1" s="38"/>
    <row r="602" ht="15.75" customFormat="1" customHeight="1" s="38"/>
    <row r="603" ht="15.75" customFormat="1" customHeight="1" s="38"/>
    <row r="604" ht="15.75" customFormat="1" customHeight="1" s="38"/>
    <row r="605" ht="15.75" customFormat="1" customHeight="1" s="38"/>
    <row r="606" ht="15.75" customFormat="1" customHeight="1" s="38"/>
    <row r="607" ht="15.75" customFormat="1" customHeight="1" s="38"/>
    <row r="608" ht="15.75" customFormat="1" customHeight="1" s="38"/>
    <row r="609" ht="15.75" customFormat="1" customHeight="1" s="38"/>
    <row r="610" ht="15.75" customFormat="1" customHeight="1" s="38"/>
    <row r="611" ht="15.75" customFormat="1" customHeight="1" s="38"/>
    <row r="612" ht="15.75" customFormat="1" customHeight="1" s="38"/>
    <row r="613" ht="15.75" customFormat="1" customHeight="1" s="38"/>
    <row r="614" ht="15.75" customFormat="1" customHeight="1" s="38"/>
    <row r="615" ht="15.75" customFormat="1" customHeight="1" s="38"/>
    <row r="616" ht="15.75" customFormat="1" customHeight="1" s="38"/>
    <row r="617" ht="15.75" customFormat="1" customHeight="1" s="38"/>
    <row r="618" ht="15.75" customFormat="1" customHeight="1" s="38"/>
    <row r="619" ht="15.75" customFormat="1" customHeight="1" s="38"/>
    <row r="620" ht="15.75" customFormat="1" customHeight="1" s="38"/>
    <row r="621" ht="15.75" customFormat="1" customHeight="1" s="38"/>
    <row r="622" ht="15.75" customFormat="1" customHeight="1" s="38"/>
    <row r="623" ht="15.75" customFormat="1" customHeight="1" s="38"/>
    <row r="624" ht="15.75" customFormat="1" customHeight="1" s="38"/>
    <row r="625" ht="15.75" customFormat="1" customHeight="1" s="38"/>
    <row r="626" ht="15.75" customFormat="1" customHeight="1" s="38"/>
    <row r="627" ht="15.75" customFormat="1" customHeight="1" s="38"/>
    <row r="628" ht="15.75" customFormat="1" customHeight="1" s="38"/>
    <row r="629" ht="15.75" customFormat="1" customHeight="1" s="38"/>
    <row r="630" ht="15.75" customFormat="1" customHeight="1" s="38"/>
    <row r="631" ht="15.75" customFormat="1" customHeight="1" s="38"/>
    <row r="632" ht="15.75" customFormat="1" customHeight="1" s="38"/>
    <row r="633" ht="15.75" customFormat="1" customHeight="1" s="38"/>
    <row r="634" ht="15.75" customFormat="1" customHeight="1" s="38"/>
    <row r="635" ht="15.75" customFormat="1" customHeight="1" s="38"/>
    <row r="636" ht="15.75" customFormat="1" customHeight="1" s="38"/>
    <row r="637" ht="15.75" customFormat="1" customHeight="1" s="38"/>
    <row r="638" ht="15.75" customFormat="1" customHeight="1" s="38"/>
    <row r="639" ht="15.75" customFormat="1" customHeight="1" s="38"/>
    <row r="640" ht="15.75" customFormat="1" customHeight="1" s="38"/>
    <row r="641" ht="15.75" customFormat="1" customHeight="1" s="38"/>
    <row r="642" ht="15.75" customFormat="1" customHeight="1" s="38"/>
    <row r="643" ht="15.75" customFormat="1" customHeight="1" s="38"/>
    <row r="644" ht="15.75" customFormat="1" customHeight="1" s="38"/>
    <row r="645" ht="15.75" customFormat="1" customHeight="1" s="38"/>
    <row r="646" ht="15.75" customFormat="1" customHeight="1" s="38"/>
    <row r="647" ht="15.75" customFormat="1" customHeight="1" s="38"/>
    <row r="648" ht="15.75" customFormat="1" customHeight="1" s="38"/>
    <row r="649" ht="15.75" customFormat="1" customHeight="1" s="38"/>
    <row r="650" ht="15.75" customFormat="1" customHeight="1" s="38"/>
    <row r="651" ht="15.75" customFormat="1" customHeight="1" s="38"/>
    <row r="652" ht="15.75" customFormat="1" customHeight="1" s="38"/>
    <row r="653" ht="15.75" customFormat="1" customHeight="1" s="38"/>
    <row r="654" ht="15.75" customFormat="1" customHeight="1" s="38"/>
    <row r="655" ht="15.75" customFormat="1" customHeight="1" s="38"/>
    <row r="656" ht="15.75" customFormat="1" customHeight="1" s="38"/>
    <row r="657" ht="15.75" customFormat="1" customHeight="1" s="38"/>
    <row r="658" ht="15.75" customFormat="1" customHeight="1" s="38"/>
    <row r="659" ht="15.75" customFormat="1" customHeight="1" s="38"/>
    <row r="660" ht="15.75" customFormat="1" customHeight="1" s="38"/>
    <row r="661" ht="15.75" customFormat="1" customHeight="1" s="38"/>
    <row r="662" ht="15.75" customFormat="1" customHeight="1" s="38"/>
    <row r="663" ht="15.75" customFormat="1" customHeight="1" s="38"/>
    <row r="664" ht="15.75" customFormat="1" customHeight="1" s="38"/>
    <row r="665" ht="15.75" customFormat="1" customHeight="1" s="38"/>
    <row r="666" ht="15.75" customFormat="1" customHeight="1" s="38"/>
    <row r="667" ht="15.75" customFormat="1" customHeight="1" s="38"/>
    <row r="668" ht="15.75" customFormat="1" customHeight="1" s="38"/>
    <row r="669" ht="15.75" customFormat="1" customHeight="1" s="38"/>
    <row r="670" ht="15.75" customFormat="1" customHeight="1" s="38"/>
    <row r="671" ht="15.75" customFormat="1" customHeight="1" s="38"/>
    <row r="672" ht="15.75" customFormat="1" customHeight="1" s="38"/>
    <row r="673" ht="15.75" customFormat="1" customHeight="1" s="38"/>
    <row r="674" ht="15.75" customFormat="1" customHeight="1" s="38"/>
    <row r="675" ht="15.75" customFormat="1" customHeight="1" s="38"/>
    <row r="676" ht="15.75" customFormat="1" customHeight="1" s="38"/>
    <row r="677" ht="15.75" customFormat="1" customHeight="1" s="38"/>
    <row r="678" ht="15.75" customFormat="1" customHeight="1" s="38"/>
    <row r="679" ht="15.75" customFormat="1" customHeight="1" s="38"/>
    <row r="680" ht="15.75" customFormat="1" customHeight="1" s="38"/>
    <row r="681" ht="15.75" customFormat="1" customHeight="1" s="38"/>
    <row r="682" ht="15.75" customFormat="1" customHeight="1" s="38"/>
    <row r="683" ht="15.75" customFormat="1" customHeight="1" s="38"/>
    <row r="684" ht="15.75" customFormat="1" customHeight="1" s="38"/>
    <row r="685" ht="15.75" customFormat="1" customHeight="1" s="38"/>
    <row r="686" ht="15.75" customFormat="1" customHeight="1" s="38"/>
    <row r="687" ht="15.75" customFormat="1" customHeight="1" s="38"/>
    <row r="688" ht="15.75" customFormat="1" customHeight="1" s="38"/>
    <row r="689" ht="15.75" customFormat="1" customHeight="1" s="38"/>
    <row r="690" ht="15.75" customFormat="1" customHeight="1" s="38"/>
    <row r="691" ht="15.75" customFormat="1" customHeight="1" s="38"/>
    <row r="692" ht="15.75" customFormat="1" customHeight="1" s="38"/>
    <row r="693" ht="15.75" customFormat="1" customHeight="1" s="38"/>
    <row r="694" ht="15.75" customFormat="1" customHeight="1" s="38"/>
    <row r="695" ht="15.75" customFormat="1" customHeight="1" s="38"/>
    <row r="696" ht="15.75" customFormat="1" customHeight="1" s="38"/>
    <row r="697" ht="15.75" customFormat="1" customHeight="1" s="38"/>
    <row r="698" ht="15.75" customFormat="1" customHeight="1" s="38"/>
    <row r="699" ht="15.75" customFormat="1" customHeight="1" s="38"/>
    <row r="700" ht="15.75" customFormat="1" customHeight="1" s="38"/>
    <row r="701" ht="15.75" customFormat="1" customHeight="1" s="38"/>
    <row r="702" ht="15.75" customFormat="1" customHeight="1" s="38"/>
    <row r="703" ht="15.75" customFormat="1" customHeight="1" s="38"/>
    <row r="704" ht="15.75" customFormat="1" customHeight="1" s="38"/>
    <row r="705" ht="15.75" customFormat="1" customHeight="1" s="38"/>
    <row r="706" ht="15.75" customFormat="1" customHeight="1" s="38"/>
    <row r="707" ht="15.75" customFormat="1" customHeight="1" s="38"/>
    <row r="708" ht="15.75" customFormat="1" customHeight="1" s="38"/>
    <row r="709" ht="15.75" customFormat="1" customHeight="1" s="38"/>
    <row r="710" ht="15.75" customFormat="1" customHeight="1" s="38"/>
    <row r="711" ht="15.75" customFormat="1" customHeight="1" s="38"/>
    <row r="712" ht="15.75" customFormat="1" customHeight="1" s="38"/>
    <row r="713" ht="15.75" customFormat="1" customHeight="1" s="38"/>
    <row r="714" ht="15.75" customFormat="1" customHeight="1" s="38"/>
    <row r="715" ht="15.75" customFormat="1" customHeight="1" s="38"/>
    <row r="716" ht="15.75" customFormat="1" customHeight="1" s="38"/>
    <row r="717" ht="15.75" customFormat="1" customHeight="1" s="38"/>
    <row r="718" ht="15.75" customFormat="1" customHeight="1" s="38"/>
    <row r="719" ht="15.75" customFormat="1" customHeight="1" s="38"/>
    <row r="720" ht="15.75" customFormat="1" customHeight="1" s="38"/>
    <row r="721" ht="15.75" customFormat="1" customHeight="1" s="38"/>
    <row r="722" ht="15.75" customFormat="1" customHeight="1" s="38"/>
    <row r="723" ht="15.75" customFormat="1" customHeight="1" s="38"/>
    <row r="724" ht="15.75" customFormat="1" customHeight="1" s="38"/>
    <row r="725" ht="15.75" customFormat="1" customHeight="1" s="38"/>
    <row r="726" ht="15.75" customFormat="1" customHeight="1" s="38"/>
    <row r="727" ht="15.75" customFormat="1" customHeight="1" s="38"/>
    <row r="728" ht="15.75" customFormat="1" customHeight="1" s="38"/>
    <row r="729" ht="15.75" customFormat="1" customHeight="1" s="38"/>
    <row r="730" ht="15.75" customFormat="1" customHeight="1" s="38"/>
    <row r="731" ht="15.75" customFormat="1" customHeight="1" s="38"/>
    <row r="732" ht="15.75" customFormat="1" customHeight="1" s="38"/>
    <row r="733" ht="15.75" customFormat="1" customHeight="1" s="38"/>
    <row r="734" ht="15.75" customFormat="1" customHeight="1" s="38"/>
    <row r="735" ht="15.75" customFormat="1" customHeight="1" s="38"/>
    <row r="736" ht="15.75" customFormat="1" customHeight="1" s="38"/>
    <row r="737" ht="15.75" customFormat="1" customHeight="1" s="38"/>
    <row r="738" ht="15.75" customFormat="1" customHeight="1" s="38"/>
    <row r="739" ht="15.75" customFormat="1" customHeight="1" s="38"/>
    <row r="740" ht="15.75" customFormat="1" customHeight="1" s="38"/>
    <row r="741" ht="15.75" customFormat="1" customHeight="1" s="38"/>
    <row r="742" ht="15.75" customFormat="1" customHeight="1" s="38"/>
    <row r="743" ht="15.75" customFormat="1" customHeight="1" s="38"/>
    <row r="744" ht="15.75" customFormat="1" customHeight="1" s="38"/>
    <row r="745" ht="15.75" customFormat="1" customHeight="1" s="38"/>
    <row r="746" ht="15.75" customFormat="1" customHeight="1" s="38"/>
    <row r="747" ht="15.75" customFormat="1" customHeight="1" s="38"/>
    <row r="748" ht="15.75" customFormat="1" customHeight="1" s="38"/>
    <row r="749" ht="15.75" customFormat="1" customHeight="1" s="38"/>
    <row r="750" ht="15.75" customFormat="1" customHeight="1" s="38"/>
    <row r="751" ht="15.75" customFormat="1" customHeight="1" s="38"/>
    <row r="752" ht="15.75" customFormat="1" customHeight="1" s="38"/>
    <row r="753" ht="15.75" customFormat="1" customHeight="1" s="38"/>
    <row r="754" ht="15.75" customFormat="1" customHeight="1" s="38"/>
    <row r="755" ht="15.75" customFormat="1" customHeight="1" s="38"/>
    <row r="756" ht="15.75" customFormat="1" customHeight="1" s="38"/>
    <row r="757" ht="15.75" customFormat="1" customHeight="1" s="38"/>
    <row r="758" ht="15.75" customFormat="1" customHeight="1" s="38"/>
    <row r="759" ht="15.75" customFormat="1" customHeight="1" s="38"/>
    <row r="760" ht="15.75" customFormat="1" customHeight="1" s="38"/>
    <row r="761" ht="15.75" customFormat="1" customHeight="1" s="38"/>
    <row r="762" ht="15.75" customFormat="1" customHeight="1" s="38"/>
    <row r="763" ht="15.75" customFormat="1" customHeight="1" s="38"/>
    <row r="764" ht="15.75" customFormat="1" customHeight="1" s="38"/>
    <row r="765" ht="15.75" customFormat="1" customHeight="1" s="38"/>
    <row r="766" ht="15.75" customFormat="1" customHeight="1" s="38"/>
    <row r="767" ht="15.75" customFormat="1" customHeight="1" s="38"/>
    <row r="768" ht="15.75" customFormat="1" customHeight="1" s="38"/>
    <row r="769" ht="15.75" customFormat="1" customHeight="1" s="38"/>
    <row r="770" ht="15.75" customFormat="1" customHeight="1" s="38"/>
    <row r="771" ht="15.75" customFormat="1" customHeight="1" s="38"/>
    <row r="772" ht="15.75" customFormat="1" customHeight="1" s="38"/>
    <row r="773" ht="15.75" customFormat="1" customHeight="1" s="38"/>
    <row r="774" ht="15.75" customFormat="1" customHeight="1" s="38"/>
    <row r="775" ht="15.75" customFormat="1" customHeight="1" s="38"/>
    <row r="776" ht="15.75" customFormat="1" customHeight="1" s="38"/>
    <row r="777" ht="15.75" customFormat="1" customHeight="1" s="38"/>
    <row r="778" ht="15.75" customFormat="1" customHeight="1" s="38"/>
    <row r="779" ht="15.75" customFormat="1" customHeight="1" s="38"/>
    <row r="780" ht="15.75" customFormat="1" customHeight="1" s="38"/>
    <row r="781" ht="15.75" customFormat="1" customHeight="1" s="38"/>
    <row r="782" ht="15.75" customFormat="1" customHeight="1" s="38"/>
    <row r="783" ht="15.75" customFormat="1" customHeight="1" s="38"/>
    <row r="784" ht="15.75" customFormat="1" customHeight="1" s="38"/>
    <row r="785" ht="15.75" customFormat="1" customHeight="1" s="38"/>
    <row r="786" ht="15.75" customFormat="1" customHeight="1" s="38"/>
    <row r="787" ht="15.75" customFormat="1" customHeight="1" s="38"/>
    <row r="788" ht="15.75" customFormat="1" customHeight="1" s="38"/>
    <row r="789" ht="15.75" customFormat="1" customHeight="1" s="38"/>
    <row r="790" ht="15.75" customFormat="1" customHeight="1" s="38"/>
    <row r="791" ht="15.75" customFormat="1" customHeight="1" s="38"/>
    <row r="792" ht="15.75" customFormat="1" customHeight="1" s="38"/>
    <row r="793" ht="15.75" customFormat="1" customHeight="1" s="38"/>
    <row r="794" ht="15.75" customFormat="1" customHeight="1" s="38"/>
    <row r="795" ht="15.75" customFormat="1" customHeight="1" s="38"/>
    <row r="796" ht="15.75" customFormat="1" customHeight="1" s="38"/>
    <row r="797" ht="15.75" customFormat="1" customHeight="1" s="38"/>
    <row r="798" ht="15.75" customFormat="1" customHeight="1" s="38"/>
    <row r="799" ht="15.75" customFormat="1" customHeight="1" s="38"/>
    <row r="800" ht="15.75" customFormat="1" customHeight="1" s="38"/>
    <row r="801" ht="15.75" customFormat="1" customHeight="1" s="38"/>
    <row r="802" ht="15.75" customFormat="1" customHeight="1" s="38"/>
    <row r="803" ht="15.75" customFormat="1" customHeight="1" s="38"/>
    <row r="804" ht="15.75" customFormat="1" customHeight="1" s="38"/>
    <row r="805" ht="15.75" customFormat="1" customHeight="1" s="38"/>
    <row r="806" ht="15.75" customFormat="1" customHeight="1" s="38"/>
    <row r="807" ht="15.75" customFormat="1" customHeight="1" s="38"/>
    <row r="808" ht="15.75" customFormat="1" customHeight="1" s="38"/>
    <row r="809" ht="15.75" customFormat="1" customHeight="1" s="38"/>
    <row r="810" ht="15.75" customFormat="1" customHeight="1" s="38"/>
    <row r="811" ht="15.75" customFormat="1" customHeight="1" s="38"/>
    <row r="812" ht="15.75" customFormat="1" customHeight="1" s="38"/>
    <row r="813" ht="15.75" customFormat="1" customHeight="1" s="38"/>
    <row r="814" ht="15.75" customFormat="1" customHeight="1" s="38"/>
    <row r="815" ht="15.75" customFormat="1" customHeight="1" s="38"/>
    <row r="816" ht="15.75" customFormat="1" customHeight="1" s="38"/>
    <row r="817" ht="15.75" customFormat="1" customHeight="1" s="38"/>
    <row r="818" ht="15.75" customFormat="1" customHeight="1" s="38"/>
    <row r="819" ht="15.75" customFormat="1" customHeight="1" s="38"/>
    <row r="820" ht="15.75" customFormat="1" customHeight="1" s="38"/>
    <row r="821" ht="15.75" customFormat="1" customHeight="1" s="38"/>
    <row r="822" ht="15.75" customFormat="1" customHeight="1" s="38"/>
    <row r="823" ht="15.75" customFormat="1" customHeight="1" s="38"/>
    <row r="824" ht="15.75" customFormat="1" customHeight="1" s="38"/>
    <row r="825" ht="15.75" customFormat="1" customHeight="1" s="38"/>
    <row r="826" ht="15.75" customFormat="1" customHeight="1" s="38"/>
    <row r="827" ht="15.75" customFormat="1" customHeight="1" s="38"/>
    <row r="828" ht="15.75" customFormat="1" customHeight="1" s="38"/>
    <row r="829" ht="15.75" customFormat="1" customHeight="1" s="38"/>
    <row r="830" ht="15.75" customFormat="1" customHeight="1" s="38"/>
    <row r="831" ht="15.75" customFormat="1" customHeight="1" s="38"/>
    <row r="832" ht="15.75" customFormat="1" customHeight="1" s="38"/>
    <row r="833" ht="15.75" customFormat="1" customHeight="1" s="38"/>
    <row r="834" ht="15.75" customFormat="1" customHeight="1" s="38"/>
    <row r="835" ht="15.75" customFormat="1" customHeight="1" s="38"/>
    <row r="836" ht="15.75" customFormat="1" customHeight="1" s="38"/>
    <row r="837" ht="15.75" customFormat="1" customHeight="1" s="38"/>
    <row r="838" ht="15.75" customFormat="1" customHeight="1" s="38"/>
    <row r="839" ht="15.75" customFormat="1" customHeight="1" s="38"/>
    <row r="840" ht="15.75" customFormat="1" customHeight="1" s="38"/>
    <row r="841" ht="15.75" customFormat="1" customHeight="1" s="38"/>
    <row r="842" ht="15.75" customFormat="1" customHeight="1" s="38"/>
    <row r="843" ht="15.75" customFormat="1" customHeight="1" s="38"/>
    <row r="844" ht="15.75" customFormat="1" customHeight="1" s="38"/>
    <row r="845" ht="15.75" customFormat="1" customHeight="1" s="38"/>
    <row r="846" ht="15.75" customFormat="1" customHeight="1" s="38"/>
    <row r="847" ht="15.75" customFormat="1" customHeight="1" s="38"/>
    <row r="848" ht="15.75" customFormat="1" customHeight="1" s="38"/>
    <row r="849" ht="15.75" customFormat="1" customHeight="1" s="38"/>
    <row r="850" ht="15.75" customFormat="1" customHeight="1" s="38"/>
    <row r="851" ht="15.75" customFormat="1" customHeight="1" s="38"/>
    <row r="852" ht="15.75" customFormat="1" customHeight="1" s="38"/>
    <row r="853" ht="15.75" customFormat="1" customHeight="1" s="38"/>
    <row r="854" ht="15.75" customFormat="1" customHeight="1" s="38"/>
    <row r="855" ht="15.75" customFormat="1" customHeight="1" s="38"/>
    <row r="856" ht="15.75" customFormat="1" customHeight="1" s="38"/>
    <row r="857" ht="15.75" customFormat="1" customHeight="1" s="38"/>
    <row r="858" ht="15.75" customFormat="1" customHeight="1" s="38"/>
    <row r="859" ht="15.75" customFormat="1" customHeight="1" s="38"/>
    <row r="860" ht="15.75" customFormat="1" customHeight="1" s="38"/>
    <row r="861" ht="15.75" customFormat="1" customHeight="1" s="38"/>
    <row r="862" ht="15.75" customFormat="1" customHeight="1" s="38"/>
    <row r="863" ht="15.75" customFormat="1" customHeight="1" s="38"/>
    <row r="864" ht="15.75" customFormat="1" customHeight="1" s="38"/>
    <row r="865" ht="15.75" customFormat="1" customHeight="1" s="38"/>
    <row r="866" ht="15.75" customFormat="1" customHeight="1" s="38"/>
    <row r="867" ht="15.75" customFormat="1" customHeight="1" s="38"/>
    <row r="868" ht="15.75" customFormat="1" customHeight="1" s="38"/>
    <row r="869" ht="15.75" customFormat="1" customHeight="1" s="38"/>
    <row r="870" ht="15.75" customFormat="1" customHeight="1" s="38"/>
    <row r="871" ht="15.75" customFormat="1" customHeight="1" s="38"/>
    <row r="872" ht="15.75" customFormat="1" customHeight="1" s="38"/>
    <row r="873" ht="15.75" customFormat="1" customHeight="1" s="38"/>
    <row r="874" ht="15.75" customFormat="1" customHeight="1" s="38"/>
    <row r="875" ht="15.75" customFormat="1" customHeight="1" s="38"/>
    <row r="876" ht="15.75" customFormat="1" customHeight="1" s="38"/>
    <row r="877" ht="15.75" customFormat="1" customHeight="1" s="38"/>
    <row r="878" ht="15.75" customFormat="1" customHeight="1" s="38"/>
    <row r="879" ht="15.75" customFormat="1" customHeight="1" s="38"/>
    <row r="880" ht="15.75" customFormat="1" customHeight="1" s="38"/>
    <row r="881" ht="15.75" customFormat="1" customHeight="1" s="38"/>
    <row r="882" ht="15.75" customFormat="1" customHeight="1" s="38"/>
    <row r="883" ht="15.75" customFormat="1" customHeight="1" s="38"/>
    <row r="884" ht="15.75" customFormat="1" customHeight="1" s="38"/>
    <row r="885" ht="15.75" customFormat="1" customHeight="1" s="38"/>
    <row r="886" ht="15.75" customFormat="1" customHeight="1" s="38"/>
    <row r="887" ht="15.75" customFormat="1" customHeight="1" s="38"/>
    <row r="888" ht="15.75" customFormat="1" customHeight="1" s="38"/>
    <row r="889" ht="15.75" customFormat="1" customHeight="1" s="38"/>
    <row r="890" ht="15.75" customFormat="1" customHeight="1" s="38"/>
    <row r="891" ht="15.75" customFormat="1" customHeight="1" s="38"/>
    <row r="892" ht="15.75" customFormat="1" customHeight="1" s="38"/>
    <row r="893" ht="15.75" customFormat="1" customHeight="1" s="38"/>
    <row r="894" ht="15.75" customFormat="1" customHeight="1" s="38"/>
    <row r="895" ht="15.75" customFormat="1" customHeight="1" s="38"/>
    <row r="896" ht="15.75" customFormat="1" customHeight="1" s="38"/>
    <row r="897" ht="15.75" customFormat="1" customHeight="1" s="38"/>
    <row r="898" ht="15.75" customFormat="1" customHeight="1" s="38"/>
    <row r="899" ht="15.75" customFormat="1" customHeight="1" s="38"/>
    <row r="900" ht="15.75" customFormat="1" customHeight="1" s="38"/>
    <row r="901" ht="15.75" customFormat="1" customHeight="1" s="38"/>
    <row r="902" ht="15.75" customFormat="1" customHeight="1" s="38"/>
    <row r="903" ht="15.75" customFormat="1" customHeight="1" s="38"/>
    <row r="904" ht="15.75" customFormat="1" customHeight="1" s="38"/>
    <row r="905" ht="15.75" customFormat="1" customHeight="1" s="38"/>
    <row r="906" ht="15.75" customFormat="1" customHeight="1" s="38"/>
    <row r="907" ht="15.75" customFormat="1" customHeight="1" s="38"/>
    <row r="908" ht="15.75" customFormat="1" customHeight="1" s="38"/>
    <row r="909" ht="15.75" customFormat="1" customHeight="1" s="38"/>
    <row r="910" ht="15.75" customFormat="1" customHeight="1" s="38"/>
    <row r="911" ht="15.75" customFormat="1" customHeight="1" s="38"/>
    <row r="912" ht="15.75" customFormat="1" customHeight="1" s="38"/>
    <row r="913" ht="15.75" customFormat="1" customHeight="1" s="38"/>
    <row r="914" ht="15.75" customFormat="1" customHeight="1" s="38"/>
    <row r="915" ht="15.75" customFormat="1" customHeight="1" s="38"/>
    <row r="916" ht="15.75" customFormat="1" customHeight="1" s="38"/>
    <row r="917" ht="15.75" customFormat="1" customHeight="1" s="38"/>
    <row r="918" ht="15.75" customFormat="1" customHeight="1" s="38"/>
    <row r="919" ht="15.75" customFormat="1" customHeight="1" s="38"/>
    <row r="920" ht="15.75" customFormat="1" customHeight="1" s="38"/>
    <row r="921" ht="15.75" customFormat="1" customHeight="1" s="38"/>
    <row r="922" ht="15.75" customFormat="1" customHeight="1" s="38"/>
    <row r="923" ht="15.75" customFormat="1" customHeight="1" s="38"/>
    <row r="924" ht="15.75" customFormat="1" customHeight="1" s="38"/>
    <row r="925" ht="15.75" customFormat="1" customHeight="1" s="38"/>
    <row r="926" ht="15.75" customFormat="1" customHeight="1" s="38"/>
    <row r="927" ht="15.75" customFormat="1" customHeight="1" s="38"/>
    <row r="928" ht="15.75" customFormat="1" customHeight="1" s="38"/>
    <row r="929" ht="15.75" customFormat="1" customHeight="1" s="38"/>
    <row r="930" ht="15.75" customFormat="1" customHeight="1" s="38"/>
    <row r="931" ht="15.75" customFormat="1" customHeight="1" s="38"/>
    <row r="932" ht="15.75" customFormat="1" customHeight="1" s="38"/>
    <row r="933" ht="15.75" customFormat="1" customHeight="1" s="38"/>
    <row r="934" ht="15.75" customFormat="1" customHeight="1" s="38"/>
    <row r="935" ht="15.75" customFormat="1" customHeight="1" s="38"/>
    <row r="936" ht="15.75" customFormat="1" customHeight="1" s="38"/>
    <row r="937" ht="15.75" customFormat="1" customHeight="1" s="38"/>
    <row r="938" ht="15.75" customFormat="1" customHeight="1" s="38"/>
    <row r="939" ht="15.75" customFormat="1" customHeight="1" s="38"/>
    <row r="940" ht="15.75" customFormat="1" customHeight="1" s="38"/>
    <row r="941" ht="15.75" customFormat="1" customHeight="1" s="38"/>
    <row r="942" ht="15.75" customFormat="1" customHeight="1" s="38"/>
    <row r="943" ht="15.75" customFormat="1" customHeight="1" s="38"/>
    <row r="944" ht="15.75" customFormat="1" customHeight="1" s="38"/>
    <row r="945" ht="15.75" customFormat="1" customHeight="1" s="38"/>
    <row r="946" ht="15.75" customFormat="1" customHeight="1" s="38"/>
    <row r="947" ht="15.75" customFormat="1" customHeight="1" s="38"/>
    <row r="948" ht="15.75" customFormat="1" customHeight="1" s="38"/>
    <row r="949" ht="15.75" customFormat="1" customHeight="1" s="38"/>
    <row r="950" ht="15.75" customFormat="1" customHeight="1" s="38"/>
    <row r="951" ht="15.75" customFormat="1" customHeight="1" s="38"/>
    <row r="952" ht="15.75" customFormat="1" customHeight="1" s="38"/>
    <row r="953" ht="15.75" customFormat="1" customHeight="1" s="38"/>
    <row r="954" ht="15.75" customFormat="1" customHeight="1" s="38"/>
    <row r="955" ht="15.75" customFormat="1" customHeight="1" s="38"/>
    <row r="956" ht="15.75" customFormat="1" customHeight="1" s="38"/>
    <row r="957" ht="15.75" customFormat="1" customHeight="1" s="38"/>
    <row r="958" ht="15.75" customFormat="1" customHeight="1" s="38"/>
    <row r="959" ht="15.75" customFormat="1" customHeight="1" s="38"/>
    <row r="960" ht="15.75" customFormat="1" customHeight="1" s="38"/>
    <row r="961" ht="15.75" customFormat="1" customHeight="1" s="38"/>
    <row r="962" ht="15.75" customFormat="1" customHeight="1" s="38"/>
    <row r="963" ht="15.75" customFormat="1" customHeight="1" s="38"/>
    <row r="964" ht="15.75" customFormat="1" customHeight="1" s="38"/>
    <row r="965" ht="15.75" customFormat="1" customHeight="1" s="38"/>
    <row r="966" ht="15.75" customFormat="1" customHeight="1" s="38"/>
    <row r="967" ht="15.75" customFormat="1" customHeight="1" s="38"/>
    <row r="968" ht="15.75" customFormat="1" customHeight="1" s="38"/>
    <row r="969" ht="15.75" customFormat="1" customHeight="1" s="38"/>
    <row r="970" ht="15.75" customFormat="1" customHeight="1" s="38"/>
    <row r="971" ht="15.75" customFormat="1" customHeight="1" s="38"/>
    <row r="972" ht="15.75" customFormat="1" customHeight="1" s="38"/>
    <row r="973" ht="15.75" customFormat="1" customHeight="1" s="38"/>
    <row r="974" ht="15.75" customFormat="1" customHeight="1" s="38"/>
    <row r="975" ht="15.75" customFormat="1" customHeight="1" s="38"/>
    <row r="976" ht="15.75" customFormat="1" customHeight="1" s="38"/>
    <row r="977" ht="15.75" customFormat="1" customHeight="1" s="38"/>
    <row r="978" ht="15.75" customFormat="1" customHeight="1" s="38"/>
    <row r="979" ht="15.75" customFormat="1" customHeight="1" s="38"/>
    <row r="980" ht="15.75" customFormat="1" customHeight="1" s="38"/>
    <row r="981" ht="15.75" customFormat="1" customHeight="1" s="38"/>
    <row r="982" ht="15.75" customFormat="1" customHeight="1" s="38"/>
    <row r="983" ht="15.75" customFormat="1" customHeight="1" s="38"/>
    <row r="984" ht="15.75" customFormat="1" customHeight="1" s="38"/>
    <row r="985" ht="15.75" customFormat="1" customHeight="1" s="38"/>
    <row r="986" ht="15.75" customFormat="1" customHeight="1" s="38"/>
    <row r="987" ht="15.75" customFormat="1" customHeight="1" s="38"/>
    <row r="988" ht="15.75" customFormat="1" customHeight="1" s="38"/>
    <row r="989" ht="15.75" customFormat="1" customHeight="1" s="38"/>
    <row r="990" ht="15.75" customFormat="1" customHeight="1" s="38"/>
    <row r="991" ht="15.75" customFormat="1" customHeight="1" s="38"/>
    <row r="992" ht="15.75" customFormat="1" customHeight="1" s="38"/>
    <row r="993" ht="15.75" customFormat="1" customHeight="1" s="38"/>
    <row r="994" ht="15.75" customFormat="1" customHeight="1" s="38"/>
    <row r="995" ht="15.75" customFormat="1" customHeight="1" s="38"/>
    <row r="996" ht="15.75" customFormat="1" customHeight="1" s="38"/>
    <row r="997" ht="15.75" customFormat="1" customHeight="1" s="38"/>
    <row r="998" ht="15.75" customFormat="1" customHeight="1" s="38"/>
    <row r="999" ht="15.75" customFormat="1" customHeight="1" s="38"/>
    <row r="1000" ht="15.75" customFormat="1" customHeight="1" s="38"/>
  </sheetData>
  <mergeCells count="1">
    <mergeCell ref="A1:D1"/>
  </mergeCells>
  <dataValidations count="1">
    <dataValidation sqref="D6:D33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:D1"/>
    </sheetView>
  </sheetViews>
  <sheetFormatPr baseColWidth="10" defaultColWidth="14.5" defaultRowHeight="15" customHeight="1"/>
  <cols>
    <col width="12" customWidth="1" style="16" min="1" max="1"/>
    <col width="14" customWidth="1" style="16" min="2" max="2"/>
    <col width="30" customWidth="1" style="16" min="3" max="3"/>
    <col width="15" customWidth="1" style="16" min="4" max="4"/>
    <col width="8.6640625" customWidth="1" style="16" min="5" max="26"/>
  </cols>
  <sheetData>
    <row r="1" ht="21" customHeight="1" s="16">
      <c r="A1" s="51" t="inlineStr">
        <is>
          <t>Credit Card - SAMS (1261)</t>
        </is>
      </c>
    </row>
    <row r="2">
      <c r="A2" s="10" t="inlineStr">
        <is>
          <t>Balance Owed</t>
        </is>
      </c>
      <c r="B2" s="10" t="inlineStr">
        <is>
          <t>Charges</t>
        </is>
      </c>
      <c r="C2" s="10" t="inlineStr">
        <is>
          <t>Payments</t>
        </is>
      </c>
      <c r="D2" s="10" t="inlineStr">
        <is>
          <t>Projected</t>
        </is>
      </c>
    </row>
    <row r="3" ht="19" customHeight="1" s="16">
      <c r="A3" s="12">
        <f>IFERROR(-SUMIFS(Accounts!B8:B103,Accounts!A8:A103,"*SAMS*",Accounts!C8:C18,"Liability"),0)</f>
        <v/>
      </c>
      <c r="B3" s="12">
        <f>SUMPRODUCT((D6:D200=TRUE)*(B6:B200&lt;0)*B6:B200)</f>
        <v/>
      </c>
      <c r="C3" s="11">
        <f>SUMPRODUCT((D6:D200=TRUE)*(B6:B200&gt;0)*B6:B200)</f>
        <v/>
      </c>
      <c r="D3" s="13">
        <f>A3+B3+C3</f>
        <v/>
      </c>
    </row>
    <row r="5" ht="22.5" customHeight="1" s="16">
      <c r="A5" s="14" t="inlineStr">
        <is>
          <t>Description</t>
        </is>
      </c>
      <c r="B5" s="14" t="inlineStr">
        <is>
          <t>Amount</t>
        </is>
      </c>
      <c r="C5" s="14" t="inlineStr">
        <is>
          <t>Due Date</t>
        </is>
      </c>
      <c r="D5" s="14" t="inlineStr">
        <is>
          <t>In Calc?</t>
        </is>
      </c>
    </row>
    <row r="6" ht="22.5" customHeight="1" s="16">
      <c r="D6" s="7" t="n"/>
    </row>
    <row r="7" ht="22.5" customHeight="1" s="16">
      <c r="D7" s="7" t="n"/>
    </row>
    <row r="8" ht="22.5" customHeight="1" s="16">
      <c r="D8" s="7" t="n"/>
    </row>
    <row r="9" ht="22.5" customHeight="1" s="16">
      <c r="D9" s="7" t="n"/>
    </row>
    <row r="10" ht="22.5" customHeight="1" s="16">
      <c r="D10" s="7" t="n"/>
    </row>
    <row r="11" ht="22.5" customHeight="1" s="16">
      <c r="D11" s="7" t="n"/>
    </row>
    <row r="12" ht="22.5" customHeight="1" s="16">
      <c r="D12" s="7" t="n"/>
    </row>
    <row r="13" ht="22.5" customHeight="1" s="16">
      <c r="D13" s="7" t="n"/>
    </row>
    <row r="14" ht="22.5" customHeight="1" s="16">
      <c r="D14" s="7" t="n"/>
    </row>
    <row r="15" ht="22.5" customHeight="1" s="16">
      <c r="D15" s="7" t="n"/>
    </row>
    <row r="16" ht="22.5" customHeight="1" s="16">
      <c r="D16" s="7" t="n"/>
    </row>
    <row r="17" ht="22.5" customHeight="1" s="16">
      <c r="D17" s="7" t="n"/>
    </row>
    <row r="18" ht="22.5" customHeight="1" s="16">
      <c r="D18" s="7" t="n"/>
    </row>
    <row r="19" ht="22.5" customHeight="1" s="16">
      <c r="D19" s="7" t="n"/>
    </row>
    <row r="20" ht="22.5" customHeight="1" s="16">
      <c r="D20" s="7" t="n"/>
    </row>
    <row r="21" ht="15.75" customHeight="1" s="16">
      <c r="D21" s="7" t="n"/>
    </row>
    <row r="22" ht="15.75" customHeight="1" s="16">
      <c r="D22" s="7" t="n"/>
    </row>
    <row r="23" ht="15.75" customHeight="1" s="16">
      <c r="D23" s="7" t="n"/>
    </row>
    <row r="24" ht="15.75" customHeight="1" s="16">
      <c r="D24" s="7" t="n"/>
    </row>
    <row r="25" ht="15.75" customHeight="1" s="16">
      <c r="D25" s="7" t="n"/>
    </row>
    <row r="26" ht="15.75" customHeight="1" s="16">
      <c r="D26" s="7" t="n"/>
    </row>
    <row r="27" ht="15.75" customHeight="1" s="16">
      <c r="D27" s="7" t="n"/>
    </row>
    <row r="28" ht="15.75" customHeight="1" s="16">
      <c r="D28" s="7" t="n"/>
    </row>
    <row r="29" ht="15.75" customHeight="1" s="16">
      <c r="D29" s="7" t="n"/>
    </row>
    <row r="30" ht="15.75" customHeight="1" s="16">
      <c r="D30" s="7" t="n"/>
    </row>
    <row r="31" ht="15.75" customHeight="1" s="16">
      <c r="D31" s="7" t="n"/>
    </row>
    <row r="32" ht="15.75" customHeight="1" s="16">
      <c r="D32" s="7" t="n"/>
    </row>
    <row r="33" ht="15.75" customHeight="1" s="16">
      <c r="D33" s="7" t="n"/>
    </row>
    <row r="34" ht="15.75" customHeight="1" s="16"/>
    <row r="35" ht="15.75" customHeight="1" s="16"/>
    <row r="36" ht="15.75" customHeight="1" s="16"/>
    <row r="37" ht="15.75" customHeight="1" s="16"/>
    <row r="38" ht="15.75" customHeight="1" s="16"/>
    <row r="39" ht="15.75" customHeight="1" s="16"/>
    <row r="40" ht="15.75" customHeight="1" s="16"/>
    <row r="41" ht="15.75" customHeight="1" s="16"/>
    <row r="42" ht="15.75" customHeight="1" s="16"/>
    <row r="43" ht="15.75" customHeight="1" s="16"/>
    <row r="44" ht="15.75" customHeight="1" s="16"/>
    <row r="45" ht="15.75" customHeight="1" s="16"/>
    <row r="46" ht="15.75" customHeight="1" s="16"/>
    <row r="47" ht="15.75" customHeight="1" s="16"/>
    <row r="48" ht="15.75" customHeight="1" s="16"/>
    <row r="49" ht="15.75" customHeight="1" s="16"/>
    <row r="50" ht="15.75" customHeight="1" s="16"/>
    <row r="51" ht="15.75" customHeight="1" s="16"/>
    <row r="52" ht="15.75" customHeight="1" s="16"/>
    <row r="53" ht="15.75" customHeight="1" s="16"/>
    <row r="54" ht="15.75" customHeight="1" s="16"/>
    <row r="55" ht="15.75" customHeight="1" s="16"/>
    <row r="56" ht="15.75" customHeight="1" s="16"/>
    <row r="57" ht="15.75" customHeight="1" s="16"/>
    <row r="58" ht="15.75" customHeight="1" s="16"/>
    <row r="59" ht="15.75" customHeight="1" s="16"/>
    <row r="60" ht="15.75" customHeight="1" s="16"/>
    <row r="61" ht="15.75" customHeight="1" s="16"/>
    <row r="62" ht="15.75" customHeight="1" s="16"/>
    <row r="63" ht="15.75" customHeight="1" s="16"/>
    <row r="64" ht="15.75" customHeight="1" s="16"/>
    <row r="65" ht="15.75" customHeight="1" s="16"/>
    <row r="66" ht="15.75" customHeight="1" s="16"/>
    <row r="67" ht="15.75" customHeight="1" s="16"/>
    <row r="68" ht="15.75" customHeight="1" s="16"/>
    <row r="69" ht="15.75" customHeight="1" s="16"/>
    <row r="70" ht="15.75" customHeight="1" s="16"/>
    <row r="71" ht="15.75" customHeight="1" s="16"/>
    <row r="72" ht="15.75" customHeight="1" s="16"/>
    <row r="73" ht="15.75" customHeight="1" s="16"/>
    <row r="74" ht="15.75" customHeight="1" s="16"/>
    <row r="75" ht="15.75" customHeight="1" s="16"/>
    <row r="76" ht="15.75" customHeight="1" s="16"/>
    <row r="77" ht="15.75" customHeight="1" s="16"/>
    <row r="78" ht="15.75" customHeight="1" s="16"/>
    <row r="79" ht="15.75" customHeight="1" s="16"/>
    <row r="80" ht="15.75" customHeight="1" s="16"/>
    <row r="81" ht="15.75" customHeight="1" s="16"/>
    <row r="82" ht="15.75" customHeight="1" s="16"/>
    <row r="83" ht="15.75" customHeight="1" s="16"/>
    <row r="84" ht="15.75" customHeight="1" s="16"/>
    <row r="85" ht="15.75" customHeight="1" s="16"/>
    <row r="86" ht="15.75" customHeight="1" s="16"/>
    <row r="87" ht="15.75" customHeight="1" s="16"/>
    <row r="88" ht="15.75" customHeight="1" s="16"/>
    <row r="89" ht="15.75" customHeight="1" s="16"/>
    <row r="90" ht="15.75" customHeight="1" s="16"/>
    <row r="91" ht="15.75" customHeight="1" s="16"/>
    <row r="92" ht="15.75" customHeight="1" s="16"/>
    <row r="93" ht="15.75" customHeight="1" s="16"/>
    <row r="94" ht="15.75" customHeight="1" s="16"/>
    <row r="95" ht="15.75" customHeight="1" s="16"/>
    <row r="96" ht="15.75" customHeight="1" s="16"/>
    <row r="97" ht="15.75" customHeight="1" s="16"/>
    <row r="98" ht="15.75" customHeight="1" s="16"/>
    <row r="99" ht="15.75" customHeight="1" s="16"/>
    <row r="100" ht="15.75" customHeight="1" s="16"/>
    <row r="101" ht="15.75" customHeight="1" s="16"/>
    <row r="102" ht="15.75" customHeight="1" s="16"/>
    <row r="103" ht="15.75" customHeight="1" s="16"/>
    <row r="104" ht="15.75" customHeight="1" s="16"/>
    <row r="105" ht="15.75" customHeight="1" s="16"/>
    <row r="106" ht="15.75" customHeight="1" s="16"/>
    <row r="107" ht="15.75" customHeight="1" s="16"/>
    <row r="108" ht="15.75" customHeight="1" s="16"/>
    <row r="109" ht="15.75" customHeight="1" s="16"/>
    <row r="110" ht="15.75" customHeight="1" s="16"/>
    <row r="111" ht="15.75" customHeight="1" s="16"/>
    <row r="112" ht="15.75" customHeight="1" s="16"/>
    <row r="113" ht="15.75" customHeight="1" s="16"/>
    <row r="114" ht="15.75" customHeight="1" s="16"/>
    <row r="115" ht="15.75" customHeight="1" s="16"/>
    <row r="116" ht="15.75" customHeight="1" s="16"/>
    <row r="117" ht="15.75" customHeight="1" s="16"/>
    <row r="118" ht="15.75" customHeight="1" s="16"/>
    <row r="119" ht="15.75" customHeight="1" s="16"/>
    <row r="120" ht="15.75" customHeight="1" s="16"/>
    <row r="121" ht="15.75" customHeight="1" s="16"/>
    <row r="122" ht="15.75" customHeight="1" s="16"/>
    <row r="123" ht="15.75" customHeight="1" s="16"/>
    <row r="124" ht="15.75" customHeight="1" s="16"/>
    <row r="125" ht="15.75" customHeight="1" s="16"/>
    <row r="126" ht="15.75" customHeight="1" s="16"/>
    <row r="127" ht="15.75" customHeight="1" s="16"/>
    <row r="128" ht="15.75" customHeight="1" s="16"/>
    <row r="129" ht="15.75" customHeight="1" s="16"/>
    <row r="130" ht="15.75" customHeight="1" s="16"/>
    <row r="131" ht="15.75" customHeight="1" s="16"/>
    <row r="132" ht="15.75" customHeight="1" s="16"/>
    <row r="133" ht="15.75" customHeight="1" s="16"/>
    <row r="134" ht="15.75" customHeight="1" s="16"/>
    <row r="135" ht="15.75" customHeight="1" s="16"/>
    <row r="136" ht="15.75" customHeight="1" s="16"/>
    <row r="137" ht="15.75" customHeight="1" s="16"/>
    <row r="138" ht="15.75" customHeight="1" s="16"/>
    <row r="139" ht="15.75" customHeight="1" s="16"/>
    <row r="140" ht="15.75" customHeight="1" s="16"/>
    <row r="141" ht="15.75" customHeight="1" s="16"/>
    <row r="142" ht="15.75" customHeight="1" s="16"/>
    <row r="143" ht="15.75" customHeight="1" s="16"/>
    <row r="144" ht="15.75" customHeight="1" s="16"/>
    <row r="145" ht="15.75" customHeight="1" s="16"/>
    <row r="146" ht="15.75" customHeight="1" s="16"/>
    <row r="147" ht="15.75" customHeight="1" s="16"/>
    <row r="148" ht="15.75" customHeight="1" s="16"/>
    <row r="149" ht="15.75" customHeight="1" s="16"/>
    <row r="150" ht="15.75" customHeight="1" s="16"/>
    <row r="151" ht="15.75" customHeight="1" s="16"/>
    <row r="152" ht="15.75" customHeight="1" s="16"/>
    <row r="153" ht="15.75" customHeight="1" s="16"/>
    <row r="154" ht="15.75" customHeight="1" s="16"/>
    <row r="155" ht="15.75" customHeight="1" s="16"/>
    <row r="156" ht="15.75" customHeight="1" s="16"/>
    <row r="157" ht="15.75" customHeight="1" s="16"/>
    <row r="158" ht="15.75" customHeight="1" s="16"/>
    <row r="159" ht="15.75" customHeight="1" s="16"/>
    <row r="160" ht="15.75" customHeight="1" s="16"/>
    <row r="161" ht="15.75" customHeight="1" s="16"/>
    <row r="162" ht="15.75" customHeight="1" s="16"/>
    <row r="163" ht="15.75" customHeight="1" s="16"/>
    <row r="164" ht="15.75" customHeight="1" s="16"/>
    <row r="165" ht="15.75" customHeight="1" s="16"/>
    <row r="166" ht="15.75" customHeight="1" s="16"/>
    <row r="167" ht="15.75" customHeight="1" s="16"/>
    <row r="168" ht="15.75" customHeight="1" s="16"/>
    <row r="169" ht="15.75" customHeight="1" s="16"/>
    <row r="170" ht="15.75" customHeight="1" s="16"/>
    <row r="171" ht="15.75" customHeight="1" s="16"/>
    <row r="172" ht="15.75" customHeight="1" s="16"/>
    <row r="173" ht="15.75" customHeight="1" s="16"/>
    <row r="174" ht="15.75" customHeight="1" s="16"/>
    <row r="175" ht="15.75" customHeight="1" s="16"/>
    <row r="176" ht="15.75" customHeight="1" s="16"/>
    <row r="177" ht="15.75" customHeight="1" s="16"/>
    <row r="178" ht="15.75" customHeight="1" s="16"/>
    <row r="179" ht="15.75" customHeight="1" s="16"/>
    <row r="180" ht="15.75" customHeight="1" s="16"/>
    <row r="181" ht="15.75" customHeight="1" s="16"/>
    <row r="182" ht="15.75" customHeight="1" s="16"/>
    <row r="183" ht="15.75" customHeight="1" s="16"/>
    <row r="184" ht="15.75" customHeight="1" s="16"/>
    <row r="185" ht="15.75" customHeight="1" s="16"/>
    <row r="186" ht="15.75" customHeight="1" s="16"/>
    <row r="187" ht="15.75" customHeight="1" s="16"/>
    <row r="188" ht="15.75" customHeight="1" s="16"/>
    <row r="189" ht="15.75" customHeight="1" s="16"/>
    <row r="190" ht="15.75" customHeight="1" s="16"/>
    <row r="191" ht="15.75" customHeight="1" s="16"/>
    <row r="192" ht="15.75" customHeight="1" s="16"/>
    <row r="193" ht="15.75" customHeight="1" s="16"/>
    <row r="194" ht="15.75" customHeight="1" s="16"/>
    <row r="195" ht="15.75" customHeight="1" s="16"/>
    <row r="196" ht="15.75" customHeight="1" s="16"/>
    <row r="197" ht="15.75" customHeight="1" s="16"/>
    <row r="198" ht="15.75" customHeight="1" s="16"/>
    <row r="199" ht="15.75" customHeight="1" s="16"/>
    <row r="200" ht="15.75" customHeight="1" s="16"/>
    <row r="201" ht="15.75" customHeight="1" s="16"/>
    <row r="202" ht="15.75" customHeight="1" s="16"/>
    <row r="203" ht="15.75" customHeight="1" s="16"/>
    <row r="204" ht="15.75" customHeight="1" s="16"/>
    <row r="205" ht="15.75" customHeight="1" s="16"/>
    <row r="206" ht="15.75" customHeight="1" s="16"/>
    <row r="207" ht="15.75" customHeight="1" s="16"/>
    <row r="208" ht="15.75" customHeight="1" s="16"/>
    <row r="209" ht="15.75" customHeight="1" s="16"/>
    <row r="210" ht="15.75" customHeight="1" s="16"/>
    <row r="211" ht="15.75" customHeight="1" s="16"/>
    <row r="212" ht="15.75" customHeight="1" s="16"/>
    <row r="213" ht="15.75" customHeight="1" s="16"/>
    <row r="214" ht="15.75" customHeight="1" s="16"/>
    <row r="215" ht="15.75" customHeight="1" s="16"/>
    <row r="216" ht="15.75" customHeight="1" s="16"/>
    <row r="217" ht="15.75" customHeight="1" s="16"/>
    <row r="218" ht="15.75" customHeight="1" s="16"/>
    <row r="219" ht="15.75" customHeight="1" s="16"/>
    <row r="220" ht="15.75" customHeight="1" s="16"/>
    <row r="221" ht="15.75" customHeight="1" s="16"/>
    <row r="222" ht="15.75" customHeight="1" s="16"/>
    <row r="223" ht="15.75" customHeight="1" s="16"/>
    <row r="224" ht="15.75" customHeight="1" s="16"/>
    <row r="225" ht="15.75" customHeight="1" s="16"/>
    <row r="226" ht="15.75" customHeight="1" s="16"/>
    <row r="227" ht="15.75" customHeight="1" s="16"/>
    <row r="228" ht="15.75" customHeight="1" s="16"/>
    <row r="229" ht="15.75" customHeight="1" s="16"/>
    <row r="230" ht="15.75" customHeight="1" s="16"/>
    <row r="231" ht="15.75" customHeight="1" s="16"/>
    <row r="232" ht="15.75" customHeight="1" s="16"/>
    <row r="233" ht="15.75" customHeight="1" s="16"/>
    <row r="234" ht="15.75" customHeight="1" s="16"/>
    <row r="235" ht="15.75" customHeight="1" s="16"/>
    <row r="236" ht="15.75" customHeight="1" s="16"/>
    <row r="237" ht="15.75" customHeight="1" s="16"/>
    <row r="238" ht="15.75" customHeight="1" s="16"/>
    <row r="239" ht="15.75" customHeight="1" s="16"/>
    <row r="240" ht="15.75" customHeight="1" s="16"/>
    <row r="241" ht="15.75" customHeight="1" s="16"/>
    <row r="242" ht="15.75" customHeight="1" s="16"/>
    <row r="243" ht="15.75" customHeight="1" s="16"/>
    <row r="244" ht="15.75" customHeight="1" s="16"/>
    <row r="245" ht="15.75" customHeight="1" s="16"/>
    <row r="246" ht="15.75" customHeight="1" s="16"/>
    <row r="247" ht="15.75" customHeight="1" s="16"/>
    <row r="248" ht="15.75" customHeight="1" s="16"/>
    <row r="249" ht="15.75" customHeight="1" s="16"/>
    <row r="250" ht="15.75" customHeight="1" s="16"/>
    <row r="251" ht="15.75" customHeight="1" s="16"/>
    <row r="252" ht="15.75" customHeight="1" s="16"/>
    <row r="253" ht="15.75" customHeight="1" s="16"/>
    <row r="254" ht="15.75" customHeight="1" s="16"/>
    <row r="255" ht="15.75" customHeight="1" s="16"/>
    <row r="256" ht="15.75" customHeight="1" s="16"/>
    <row r="257" ht="15.75" customHeight="1" s="16"/>
    <row r="258" ht="15.75" customHeight="1" s="16"/>
    <row r="259" ht="15.75" customHeight="1" s="16"/>
    <row r="260" ht="15.75" customHeight="1" s="16"/>
    <row r="261" ht="15.75" customHeight="1" s="16"/>
    <row r="262" ht="15.75" customHeight="1" s="16"/>
    <row r="263" ht="15.75" customHeight="1" s="16"/>
    <row r="264" ht="15.75" customHeight="1" s="16"/>
    <row r="265" ht="15.75" customHeight="1" s="16"/>
    <row r="266" ht="15.75" customHeight="1" s="16"/>
    <row r="267" ht="15.75" customHeight="1" s="16"/>
    <row r="268" ht="15.75" customHeight="1" s="16"/>
    <row r="269" ht="15.75" customHeight="1" s="16"/>
    <row r="270" ht="15.75" customHeight="1" s="16"/>
    <row r="271" ht="15.75" customHeight="1" s="16"/>
    <row r="272" ht="15.75" customHeight="1" s="16"/>
    <row r="273" ht="15.75" customHeight="1" s="16"/>
    <row r="274" ht="15.75" customHeight="1" s="16"/>
    <row r="275" ht="15.75" customHeight="1" s="16"/>
    <row r="276" ht="15.75" customHeight="1" s="16"/>
    <row r="277" ht="15.75" customHeight="1" s="16"/>
    <row r="278" ht="15.75" customHeight="1" s="16"/>
    <row r="279" ht="15.75" customHeight="1" s="16"/>
    <row r="280" ht="15.75" customHeight="1" s="16"/>
    <row r="281" ht="15.75" customHeight="1" s="16"/>
    <row r="282" ht="15.75" customHeight="1" s="16"/>
    <row r="283" ht="15.75" customHeight="1" s="16"/>
    <row r="284" ht="15.75" customHeight="1" s="16"/>
    <row r="285" ht="15.75" customHeight="1" s="16"/>
    <row r="286" ht="15.75" customHeight="1" s="16"/>
    <row r="287" ht="15.75" customHeight="1" s="16"/>
    <row r="288" ht="15.75" customHeight="1" s="16"/>
    <row r="289" ht="15.75" customHeight="1" s="16"/>
    <row r="290" ht="15.75" customHeight="1" s="16"/>
    <row r="291" ht="15.75" customHeight="1" s="16"/>
    <row r="292" ht="15.75" customHeight="1" s="16"/>
    <row r="293" ht="15.75" customHeight="1" s="16"/>
    <row r="294" ht="15.75" customHeight="1" s="16"/>
    <row r="295" ht="15.75" customHeight="1" s="16"/>
    <row r="296" ht="15.75" customHeight="1" s="16"/>
    <row r="297" ht="15.75" customHeight="1" s="16"/>
    <row r="298" ht="15.75" customHeight="1" s="16"/>
    <row r="299" ht="15.75" customHeight="1" s="16"/>
    <row r="300" ht="15.75" customHeight="1" s="16"/>
    <row r="301" ht="15.75" customHeight="1" s="16"/>
    <row r="302" ht="15.75" customHeight="1" s="16"/>
    <row r="303" ht="15.75" customHeight="1" s="16"/>
    <row r="304" ht="15.75" customHeight="1" s="16"/>
    <row r="305" ht="15.75" customHeight="1" s="16"/>
    <row r="306" ht="15.75" customHeight="1" s="16"/>
    <row r="307" ht="15.75" customHeight="1" s="16"/>
    <row r="308" ht="15.75" customHeight="1" s="16"/>
    <row r="309" ht="15.75" customHeight="1" s="16"/>
    <row r="310" ht="15.75" customHeight="1" s="16"/>
    <row r="311" ht="15.75" customHeight="1" s="16"/>
    <row r="312" ht="15.75" customHeight="1" s="16"/>
    <row r="313" ht="15.75" customHeight="1" s="16"/>
    <row r="314" ht="15.75" customHeight="1" s="16"/>
    <row r="315" ht="15.75" customHeight="1" s="16"/>
    <row r="316" ht="15.75" customHeight="1" s="16"/>
    <row r="317" ht="15.75" customHeight="1" s="16"/>
    <row r="318" ht="15.75" customHeight="1" s="16"/>
    <row r="319" ht="15.75" customHeight="1" s="16"/>
    <row r="320" ht="15.75" customHeight="1" s="16"/>
    <row r="321" ht="15.75" customHeight="1" s="16"/>
    <row r="322" ht="15.75" customHeight="1" s="16"/>
    <row r="323" ht="15.75" customHeight="1" s="16"/>
    <row r="324" ht="15.75" customHeight="1" s="16"/>
    <row r="325" ht="15.75" customHeight="1" s="16"/>
    <row r="326" ht="15.75" customHeight="1" s="16"/>
    <row r="327" ht="15.75" customHeight="1" s="16"/>
    <row r="328" ht="15.75" customHeight="1" s="16"/>
    <row r="329" ht="15.75" customHeight="1" s="16"/>
    <row r="330" ht="15.75" customHeight="1" s="16"/>
    <row r="331" ht="15.75" customHeight="1" s="16"/>
    <row r="332" ht="15.75" customHeight="1" s="16"/>
    <row r="333" ht="15.75" customHeight="1" s="16"/>
    <row r="334" ht="15.75" customHeight="1" s="16"/>
    <row r="335" ht="15.75" customHeight="1" s="16"/>
    <row r="336" ht="15.75" customHeight="1" s="16"/>
    <row r="337" ht="15.75" customHeight="1" s="16"/>
    <row r="338" ht="15.75" customHeight="1" s="16"/>
    <row r="339" ht="15.75" customHeight="1" s="16"/>
    <row r="340" ht="15.75" customHeight="1" s="16"/>
    <row r="341" ht="15.75" customHeight="1" s="16"/>
    <row r="342" ht="15.75" customHeight="1" s="16"/>
    <row r="343" ht="15.75" customHeight="1" s="16"/>
    <row r="344" ht="15.75" customHeight="1" s="16"/>
    <row r="345" ht="15.75" customHeight="1" s="16"/>
    <row r="346" ht="15.75" customHeight="1" s="16"/>
    <row r="347" ht="15.75" customHeight="1" s="16"/>
    <row r="348" ht="15.75" customHeight="1" s="16"/>
    <row r="349" ht="15.75" customHeight="1" s="16"/>
    <row r="350" ht="15.75" customHeight="1" s="16"/>
    <row r="351" ht="15.75" customHeight="1" s="16"/>
    <row r="352" ht="15.75" customHeight="1" s="16"/>
    <row r="353" ht="15.75" customHeight="1" s="16"/>
    <row r="354" ht="15.75" customHeight="1" s="16"/>
    <row r="355" ht="15.75" customHeight="1" s="16"/>
    <row r="356" ht="15.75" customHeight="1" s="16"/>
    <row r="357" ht="15.75" customHeight="1" s="16"/>
    <row r="358" ht="15.75" customHeight="1" s="16"/>
    <row r="359" ht="15.75" customHeight="1" s="16"/>
    <row r="360" ht="15.75" customHeight="1" s="16"/>
    <row r="361" ht="15.75" customHeight="1" s="16"/>
    <row r="362" ht="15.75" customHeight="1" s="16"/>
    <row r="363" ht="15.75" customHeight="1" s="16"/>
    <row r="364" ht="15.75" customHeight="1" s="16"/>
    <row r="365" ht="15.75" customHeight="1" s="16"/>
    <row r="366" ht="15.75" customHeight="1" s="16"/>
    <row r="367" ht="15.75" customHeight="1" s="16"/>
    <row r="368" ht="15.75" customHeight="1" s="16"/>
    <row r="369" ht="15.75" customHeight="1" s="16"/>
    <row r="370" ht="15.75" customHeight="1" s="16"/>
    <row r="371" ht="15.75" customHeight="1" s="16"/>
    <row r="372" ht="15.75" customHeight="1" s="16"/>
    <row r="373" ht="15.75" customHeight="1" s="16"/>
    <row r="374" ht="15.75" customHeight="1" s="16"/>
    <row r="375" ht="15.75" customHeight="1" s="16"/>
    <row r="376" ht="15.75" customHeight="1" s="16"/>
    <row r="377" ht="15.75" customHeight="1" s="16"/>
    <row r="378" ht="15.75" customHeight="1" s="16"/>
    <row r="379" ht="15.75" customHeight="1" s="16"/>
    <row r="380" ht="15.75" customHeight="1" s="16"/>
    <row r="381" ht="15.75" customHeight="1" s="16"/>
    <row r="382" ht="15.75" customHeight="1" s="16"/>
    <row r="383" ht="15.75" customHeight="1" s="16"/>
    <row r="384" ht="15.75" customHeight="1" s="16"/>
    <row r="385" ht="15.75" customHeight="1" s="16"/>
    <row r="386" ht="15.75" customHeight="1" s="16"/>
    <row r="387" ht="15.75" customHeight="1" s="16"/>
    <row r="388" ht="15.75" customHeight="1" s="16"/>
    <row r="389" ht="15.75" customHeight="1" s="16"/>
    <row r="390" ht="15.75" customHeight="1" s="16"/>
    <row r="391" ht="15.75" customHeight="1" s="16"/>
    <row r="392" ht="15.75" customHeight="1" s="16"/>
    <row r="393" ht="15.75" customHeight="1" s="16"/>
    <row r="394" ht="15.75" customHeight="1" s="16"/>
    <row r="395" ht="15.75" customHeight="1" s="16"/>
    <row r="396" ht="15.75" customHeight="1" s="16"/>
    <row r="397" ht="15.75" customHeight="1" s="16"/>
    <row r="398" ht="15.75" customHeight="1" s="16"/>
    <row r="399" ht="15.75" customHeight="1" s="16"/>
    <row r="400" ht="15.75" customHeight="1" s="16"/>
    <row r="401" ht="15.75" customHeight="1" s="16"/>
    <row r="402" ht="15.75" customHeight="1" s="16"/>
    <row r="403" ht="15.75" customHeight="1" s="16"/>
    <row r="404" ht="15.75" customHeight="1" s="16"/>
    <row r="405" ht="15.75" customHeight="1" s="16"/>
    <row r="406" ht="15.75" customHeight="1" s="16"/>
    <row r="407" ht="15.75" customHeight="1" s="16"/>
    <row r="408" ht="15.75" customHeight="1" s="16"/>
    <row r="409" ht="15.75" customHeight="1" s="16"/>
    <row r="410" ht="15.75" customHeight="1" s="16"/>
    <row r="411" ht="15.75" customHeight="1" s="16"/>
    <row r="412" ht="15.75" customHeight="1" s="16"/>
    <row r="413" ht="15.75" customHeight="1" s="16"/>
    <row r="414" ht="15.75" customHeight="1" s="16"/>
    <row r="415" ht="15.75" customHeight="1" s="16"/>
    <row r="416" ht="15.75" customHeight="1" s="16"/>
    <row r="417" ht="15.75" customHeight="1" s="16"/>
    <row r="418" ht="15.75" customHeight="1" s="16"/>
    <row r="419" ht="15.75" customHeight="1" s="16"/>
    <row r="420" ht="15.75" customHeight="1" s="16"/>
    <row r="421" ht="15.75" customHeight="1" s="16"/>
    <row r="422" ht="15.75" customHeight="1" s="16"/>
    <row r="423" ht="15.75" customHeight="1" s="16"/>
    <row r="424" ht="15.75" customHeight="1" s="16"/>
    <row r="425" ht="15.75" customHeight="1" s="16"/>
    <row r="426" ht="15.75" customHeight="1" s="16"/>
    <row r="427" ht="15.75" customHeight="1" s="16"/>
    <row r="428" ht="15.75" customHeight="1" s="16"/>
    <row r="429" ht="15.75" customHeight="1" s="16"/>
    <row r="430" ht="15.75" customHeight="1" s="16"/>
    <row r="431" ht="15.75" customHeight="1" s="16"/>
    <row r="432" ht="15.75" customHeight="1" s="16"/>
    <row r="433" ht="15.75" customHeight="1" s="16"/>
    <row r="434" ht="15.75" customHeight="1" s="16"/>
    <row r="435" ht="15.75" customHeight="1" s="16"/>
    <row r="436" ht="15.75" customHeight="1" s="16"/>
    <row r="437" ht="15.75" customHeight="1" s="16"/>
    <row r="438" ht="15.75" customHeight="1" s="16"/>
    <row r="439" ht="15.75" customHeight="1" s="16"/>
    <row r="440" ht="15.75" customHeight="1" s="16"/>
    <row r="441" ht="15.75" customHeight="1" s="16"/>
    <row r="442" ht="15.75" customHeight="1" s="16"/>
    <row r="443" ht="15.75" customHeight="1" s="16"/>
    <row r="444" ht="15.75" customHeight="1" s="16"/>
    <row r="445" ht="15.75" customHeight="1" s="16"/>
    <row r="446" ht="15.75" customHeight="1" s="16"/>
    <row r="447" ht="15.75" customHeight="1" s="16"/>
    <row r="448" ht="15.75" customHeight="1" s="16"/>
    <row r="449" ht="15.75" customHeight="1" s="16"/>
    <row r="450" ht="15.75" customHeight="1" s="16"/>
    <row r="451" ht="15.75" customHeight="1" s="16"/>
    <row r="452" ht="15.75" customHeight="1" s="16"/>
    <row r="453" ht="15.75" customHeight="1" s="16"/>
    <row r="454" ht="15.75" customHeight="1" s="16"/>
    <row r="455" ht="15.75" customHeight="1" s="16"/>
    <row r="456" ht="15.75" customHeight="1" s="16"/>
    <row r="457" ht="15.75" customHeight="1" s="16"/>
    <row r="458" ht="15.75" customHeight="1" s="16"/>
    <row r="459" ht="15.75" customHeight="1" s="16"/>
    <row r="460" ht="15.75" customHeight="1" s="16"/>
    <row r="461" ht="15.75" customHeight="1" s="16"/>
    <row r="462" ht="15.75" customHeight="1" s="16"/>
    <row r="463" ht="15.75" customHeight="1" s="16"/>
    <row r="464" ht="15.75" customHeight="1" s="16"/>
    <row r="465" ht="15.75" customHeight="1" s="16"/>
    <row r="466" ht="15.75" customHeight="1" s="16"/>
    <row r="467" ht="15.75" customHeight="1" s="16"/>
    <row r="468" ht="15.75" customHeight="1" s="16"/>
    <row r="469" ht="15.75" customHeight="1" s="16"/>
    <row r="470" ht="15.75" customHeight="1" s="16"/>
    <row r="471" ht="15.75" customHeight="1" s="16"/>
    <row r="472" ht="15.75" customHeight="1" s="16"/>
    <row r="473" ht="15.75" customHeight="1" s="16"/>
    <row r="474" ht="15.75" customHeight="1" s="16"/>
    <row r="475" ht="15.75" customHeight="1" s="16"/>
    <row r="476" ht="15.75" customHeight="1" s="16"/>
    <row r="477" ht="15.75" customHeight="1" s="16"/>
    <row r="478" ht="15.75" customHeight="1" s="16"/>
    <row r="479" ht="15.75" customHeight="1" s="16"/>
    <row r="480" ht="15.75" customHeight="1" s="16"/>
    <row r="481" ht="15.75" customHeight="1" s="16"/>
    <row r="482" ht="15.75" customHeight="1" s="16"/>
    <row r="483" ht="15.75" customHeight="1" s="16"/>
    <row r="484" ht="15.75" customHeight="1" s="16"/>
    <row r="485" ht="15.75" customHeight="1" s="16"/>
    <row r="486" ht="15.75" customHeight="1" s="16"/>
    <row r="487" ht="15.75" customHeight="1" s="16"/>
    <row r="488" ht="15.75" customHeight="1" s="16"/>
    <row r="489" ht="15.75" customHeight="1" s="16"/>
    <row r="490" ht="15.75" customHeight="1" s="16"/>
    <row r="491" ht="15.75" customHeight="1" s="16"/>
    <row r="492" ht="15.75" customHeight="1" s="16"/>
    <row r="493" ht="15.75" customHeight="1" s="16"/>
    <row r="494" ht="15.75" customHeight="1" s="16"/>
    <row r="495" ht="15.75" customHeight="1" s="16"/>
    <row r="496" ht="15.75" customHeight="1" s="16"/>
    <row r="497" ht="15.75" customHeight="1" s="16"/>
    <row r="498" ht="15.75" customHeight="1" s="16"/>
    <row r="499" ht="15.75" customHeight="1" s="16"/>
    <row r="500" ht="15.75" customHeight="1" s="16"/>
    <row r="501" ht="15.75" customHeight="1" s="16"/>
    <row r="502" ht="15.75" customHeight="1" s="16"/>
    <row r="503" ht="15.75" customHeight="1" s="16"/>
    <row r="504" ht="15.75" customHeight="1" s="16"/>
    <row r="505" ht="15.75" customHeight="1" s="16"/>
    <row r="506" ht="15.75" customHeight="1" s="16"/>
    <row r="507" ht="15.75" customHeight="1" s="16"/>
    <row r="508" ht="15.75" customHeight="1" s="16"/>
    <row r="509" ht="15.75" customHeight="1" s="16"/>
    <row r="510" ht="15.75" customHeight="1" s="16"/>
    <row r="511" ht="15.75" customHeight="1" s="16"/>
    <row r="512" ht="15.75" customHeight="1" s="16"/>
    <row r="513" ht="15.75" customHeight="1" s="16"/>
    <row r="514" ht="15.75" customHeight="1" s="16"/>
    <row r="515" ht="15.75" customHeight="1" s="16"/>
    <row r="516" ht="15.75" customHeight="1" s="16"/>
    <row r="517" ht="15.75" customHeight="1" s="16"/>
    <row r="518" ht="15.75" customHeight="1" s="16"/>
    <row r="519" ht="15.75" customHeight="1" s="16"/>
    <row r="520" ht="15.75" customHeight="1" s="16"/>
    <row r="521" ht="15.75" customHeight="1" s="16"/>
    <row r="522" ht="15.75" customHeight="1" s="16"/>
    <row r="523" ht="15.75" customHeight="1" s="16"/>
    <row r="524" ht="15.75" customHeight="1" s="16"/>
    <row r="525" ht="15.75" customHeight="1" s="16"/>
    <row r="526" ht="15.75" customHeight="1" s="16"/>
    <row r="527" ht="15.75" customHeight="1" s="16"/>
    <row r="528" ht="15.75" customHeight="1" s="16"/>
    <row r="529" ht="15.75" customHeight="1" s="16"/>
    <row r="530" ht="15.75" customHeight="1" s="16"/>
    <row r="531" ht="15.75" customHeight="1" s="16"/>
    <row r="532" ht="15.75" customHeight="1" s="16"/>
    <row r="533" ht="15.75" customHeight="1" s="16"/>
    <row r="534" ht="15.75" customHeight="1" s="16"/>
    <row r="535" ht="15.75" customHeight="1" s="16"/>
    <row r="536" ht="15.75" customHeight="1" s="16"/>
    <row r="537" ht="15.75" customHeight="1" s="16"/>
    <row r="538" ht="15.75" customHeight="1" s="16"/>
    <row r="539" ht="15.75" customHeight="1" s="16"/>
    <row r="540" ht="15.75" customHeight="1" s="16"/>
    <row r="541" ht="15.75" customHeight="1" s="16"/>
    <row r="542" ht="15.75" customHeight="1" s="16"/>
    <row r="543" ht="15.75" customHeight="1" s="16"/>
    <row r="544" ht="15.75" customHeight="1" s="16"/>
    <row r="545" ht="15.75" customHeight="1" s="16"/>
    <row r="546" ht="15.75" customHeight="1" s="16"/>
    <row r="547" ht="15.75" customHeight="1" s="16"/>
    <row r="548" ht="15.75" customHeight="1" s="16"/>
    <row r="549" ht="15.75" customHeight="1" s="16"/>
    <row r="550" ht="15.75" customHeight="1" s="16"/>
    <row r="551" ht="15.75" customHeight="1" s="16"/>
    <row r="552" ht="15.75" customHeight="1" s="16"/>
    <row r="553" ht="15.75" customHeight="1" s="16"/>
    <row r="554" ht="15.75" customHeight="1" s="16"/>
    <row r="555" ht="15.75" customHeight="1" s="16"/>
    <row r="556" ht="15.75" customHeight="1" s="16"/>
    <row r="557" ht="15.75" customHeight="1" s="16"/>
    <row r="558" ht="15.75" customHeight="1" s="16"/>
    <row r="559" ht="15.75" customHeight="1" s="16"/>
    <row r="560" ht="15.75" customHeight="1" s="16"/>
    <row r="561" ht="15.75" customHeight="1" s="16"/>
    <row r="562" ht="15.75" customHeight="1" s="16"/>
    <row r="563" ht="15.75" customHeight="1" s="16"/>
    <row r="564" ht="15.75" customHeight="1" s="16"/>
    <row r="565" ht="15.75" customHeight="1" s="16"/>
    <row r="566" ht="15.75" customHeight="1" s="16"/>
    <row r="567" ht="15.75" customHeight="1" s="16"/>
    <row r="568" ht="15.75" customHeight="1" s="16"/>
    <row r="569" ht="15.75" customHeight="1" s="16"/>
    <row r="570" ht="15.75" customHeight="1" s="16"/>
    <row r="571" ht="15.75" customHeight="1" s="16"/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mergeCells count="1">
    <mergeCell ref="A1:D1"/>
  </mergeCells>
  <dataValidations count="1">
    <dataValidation sqref="D6:D33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2026-05-05T02:01:28Z</dcterms:created>
  <dcterms:modified xsi:type="dcterms:W3CDTF">2026-05-15T20:38:13Z</dcterms:modified>
  <cp:lastModifiedBy>Chrys Wilson</cp:lastModifiedBy>
</cp:coreProperties>
</file>