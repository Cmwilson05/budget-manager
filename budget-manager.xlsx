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ccounts" sheetId="1" state="visible" r:id="rId1"/>
    <sheet name="Workbench" sheetId="2" state="visible" r:id="rId2"/>
    <sheet name="Bill Schedule" sheetId="3" state="visible" r:id="rId3"/>
    <sheet name="CC - CMW (3619)" sheetId="4" state="visible" r:id="rId4"/>
    <sheet name="CC - JGW (9299)" sheetId="5" state="visible" r:id="rId5"/>
    <sheet name="CC - SAMS (1261)" sheetId="6" state="visible" r:id="rId6"/>
  </sheets>
  <definedNames>
    <definedName name="Accounts">Accounts!$A$2:$D$12</definedName>
    <definedName name="WorkbenchBalance">Accounts!$B$18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$#,##0.00"/>
    <numFmt numFmtId="166" formatCode="M/d/yyyy"/>
  </numFmts>
  <fonts count="14">
    <font>
      <name val="Calibri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cheme val="minor"/>
    </font>
    <font>
      <name val="Calibri"/>
      <b val="1"/>
      <color theme="1"/>
      <sz val="12"/>
      <scheme val="minor"/>
    </font>
    <font>
      <name val="Calibri"/>
      <b val="1"/>
      <color theme="1"/>
      <sz val="14"/>
      <scheme val="minor"/>
    </font>
    <font>
      <name val="Calibri"/>
      <b val="1"/>
      <color rgb="FF1F4E79"/>
      <sz val="12"/>
      <scheme val="minor"/>
    </font>
    <font>
      <name val="Calibri"/>
      <b val="1"/>
      <color rgb="FFFFFFFF"/>
      <sz val="16"/>
      <scheme val="minor"/>
    </font>
    <font/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>
      <name val="Calibri"/>
      <b val="1"/>
      <color rgb="FF00B894"/>
      <sz val="14"/>
      <scheme val="minor"/>
    </font>
    <font>
      <name val="Calibri"/>
      <b val="1"/>
      <color rgb="FFD63031"/>
      <sz val="14"/>
      <scheme val="minor"/>
    </font>
    <font>
      <name val="Calibri"/>
      <b val="1"/>
      <color rgb="FF74B9FF"/>
      <sz val="14"/>
      <scheme val="minor"/>
    </font>
    <font>
      <name val="Roboto"/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2D3436"/>
        <bgColor rgb="FF2D3436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numFmtId="0" fontId="0" fillId="0" borderId="0"/>
  </cellStyleXfs>
  <cellXfs count="4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5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2" borderId="1" applyAlignment="1" pivotButton="0" quotePrefix="0" xfId="0">
      <alignment horizontal="center"/>
    </xf>
    <xf numFmtId="0" fontId="7" fillId="0" borderId="2" pivotButton="0" quotePrefix="0" xfId="0"/>
    <xf numFmtId="0" fontId="7" fillId="0" borderId="3" pivotButton="0" quotePrefix="0" xfId="0"/>
    <xf numFmtId="0" fontId="8" fillId="2" borderId="4" applyAlignment="1" pivotButton="0" quotePrefix="0" xfId="0">
      <alignment horizontal="center"/>
    </xf>
    <xf numFmtId="165" fontId="9" fillId="2" borderId="4" applyAlignment="1" pivotButton="0" quotePrefix="0" xfId="0">
      <alignment horizontal="center"/>
    </xf>
    <xf numFmtId="165" fontId="10" fillId="2" borderId="4" applyAlignment="1" pivotButton="0" quotePrefix="0" xfId="0">
      <alignment horizontal="center"/>
    </xf>
    <xf numFmtId="165" fontId="11" fillId="2" borderId="4" applyAlignment="1" pivotButton="0" quotePrefix="0" xfId="0">
      <alignment horizontal="center"/>
    </xf>
    <xf numFmtId="165" fontId="12" fillId="2" borderId="4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6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/>
    </xf>
    <xf numFmtId="165" fontId="12" fillId="3" borderId="1" applyAlignment="1" pivotButton="0" quotePrefix="0" xfId="0">
      <alignment horizontal="center"/>
    </xf>
    <xf numFmtId="0" fontId="8" fillId="3" borderId="0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165" fontId="10" fillId="3" borderId="1" applyAlignment="1" pivotButton="0" quotePrefix="0" xfId="0">
      <alignment horizontal="center"/>
    </xf>
    <xf numFmtId="4" fontId="2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6" fillId="2" borderId="4" applyAlignment="1" pivotButton="0" quotePrefix="0" xfId="0">
      <alignment horizontal="center"/>
    </xf>
    <xf numFmtId="0" fontId="9" fillId="3" borderId="4" applyAlignment="1" pivotButton="0" quotePrefix="0" xfId="0">
      <alignment horizontal="center"/>
    </xf>
    <xf numFmtId="165" fontId="12" fillId="3" borderId="4" applyAlignment="1" pivotButton="0" quotePrefix="0" xfId="0">
      <alignment horizontal="center"/>
    </xf>
    <xf numFmtId="165" fontId="10" fillId="3" borderId="4" applyAlignment="1" pivotButton="0" quotePrefix="0" xfId="0">
      <alignment horizontal="center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b val="1"/>
        <color rgb="FF000000"/>
      </font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</font>
      <fill>
        <patternFill patternType="solid">
          <fgColor rgb="FFB6D7A8"/>
          <bgColor rgb="FFB6D7A8"/>
        </patternFill>
      </fill>
      <border/>
    </dxf>
  </dxfs>
  <tableStyles count="6" defaultTableStyle="TableStyleMedium9" defaultPivotStyle="PivotStyleLight16">
    <tableStyle name="Accou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Workbench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Bill Schedul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C - CMW (3619)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C - JGW (9299)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C - SAMS (1261)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e1" displayName="Table1" ref="A1:D12" headerRowCount="1">
  <tableColumns count="4">
    <tableColumn id="1" name="Name"/>
    <tableColumn id="2" name="Balance"/>
    <tableColumn id="3" name="Type"/>
    <tableColumn id="4" name="Include in Workbench?"/>
  </tableColumns>
  <tableStyleInfo name="Accounts-style" showFirstColumn="1" showLastColumn="1" showRowStripes="1" showColumnStripes="0"/>
</table>
</file>

<file path=xl/tables/table2.xml><?xml version="1.0" encoding="utf-8"?>
<table xmlns="http://schemas.openxmlformats.org/spreadsheetml/2006/main" id="2" name="Table3" displayName="Table3" ref="A5:D38" headerRowCount="1">
  <tableColumns count="4">
    <tableColumn id="1" name="Description"/>
    <tableColumn id="2" name="Amount"/>
    <tableColumn id="3" name="Due Date"/>
    <tableColumn id="4" name="In Calc?"/>
  </tableColumns>
  <tableStyleInfo name="Workbench-style" showFirstColumn="1" showLastColumn="1" showRowStripes="1" showColumnStripes="0"/>
</table>
</file>

<file path=xl/tables/table3.xml><?xml version="1.0" encoding="utf-8"?>
<table xmlns="http://schemas.openxmlformats.org/spreadsheetml/2006/main" id="3" name="Payment_Schedule_Tracker" displayName="Payment_Schedule_Tracker" ref="A1:E86" headerRowCount="1">
  <tableColumns count="5">
    <tableColumn id="1" name="Name"/>
    <tableColumn id="2" name="Amount"/>
    <tableColumn id="3" name="Frequency"/>
    <tableColumn id="4" name="Next Due"/>
    <tableColumn id="5" name="Last Paid"/>
  </tableColumns>
  <tableStyleInfo name="Bill Schedule-style" showFirstColumn="1" showLastColumn="1" showRowStripes="1" showColumnStripes="0"/>
</table>
</file>

<file path=xl/tables/table4.xml><?xml version="1.0" encoding="utf-8"?>
<table xmlns="http://schemas.openxmlformats.org/spreadsheetml/2006/main" id="4" name="Table2" displayName="Table2" ref="A5:D33" headerRowCount="1">
  <tableColumns count="4">
    <tableColumn id="1" name="Description"/>
    <tableColumn id="2" name="Amount"/>
    <tableColumn id="3" name="Due Date"/>
    <tableColumn id="4" name="In Calc?"/>
  </tableColumns>
  <tableStyleInfo name="CC - CMW (3619)-style" showFirstColumn="1" showLastColumn="1" showRowStripes="1" showColumnStripes="0"/>
</table>
</file>

<file path=xl/tables/table5.xml><?xml version="1.0" encoding="utf-8"?>
<table xmlns="http://schemas.openxmlformats.org/spreadsheetml/2006/main" id="5" name="Table4" displayName="Table4" ref="A5:D33" headerRowCount="1">
  <tableColumns count="4">
    <tableColumn id="1" name="Description"/>
    <tableColumn id="2" name="Amount"/>
    <tableColumn id="3" name="Due Date"/>
    <tableColumn id="4" name="In Calc?"/>
  </tableColumns>
  <tableStyleInfo name="CC - JGW (9299)-style" showFirstColumn="1" showLastColumn="1" showRowStripes="1" showColumnStripes="0"/>
</table>
</file>

<file path=xl/tables/table6.xml><?xml version="1.0" encoding="utf-8"?>
<table xmlns="http://schemas.openxmlformats.org/spreadsheetml/2006/main" id="6" name="Table5" displayName="Table5" ref="A5:D33" headerRowCount="1">
  <tableColumns count="4">
    <tableColumn id="1" name="Description"/>
    <tableColumn id="2" name="Amount"/>
    <tableColumn id="3" name="Due Date"/>
    <tableColumn id="4" name="In Calc?"/>
  </tableColumns>
  <tableStyleInfo name="CC - SAMS (1261)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3.mtb.com/homepage/log-in" TargetMode="External" Id="rId1" /><Relationship Type="http://schemas.openxmlformats.org/officeDocument/2006/relationships/hyperlink" Target="https://online.factsmgt.com/consumer-link/W6GMD99/249219337/MakeAPayment/298818470/?cid=724155333&amp;nbsts=638985238579975744&amp;sig=433N6V4E273A93W235U1B12311S6B4X246M13922KG5V4N2W662X2S3B3F2T" TargetMode="External" Id="rId2" /><Relationship Type="http://schemas.openxmlformats.org/officeDocument/2006/relationships/hyperlink" Target="https://www.ameren.com/" TargetMode="External" Id="rId3" /><Relationship Type="http://schemas.openxmlformats.org/officeDocument/2006/relationships/hyperlink" Target="https://mywaterv2.amwater.com/" TargetMode="External" Id="rId4" /><Relationship Type="http://schemas.openxmlformats.org/officeDocument/2006/relationships/hyperlink" Target="https://account.t-mobile.com/signin/v2/?redirect_uri=https:%2F%2Fprepaid.t-mobile.com&amp;access_type=ONLINE&amp;response_type=code&amp;approval_prompt=auto&amp;scope=TMO_ID_profile%2520associated_lines%2520associated_customers%2520associated_billing_accounts%2520line_ad" TargetMode="External" Id="rId5" /><Relationship Type="http://schemas.openxmlformats.org/officeDocument/2006/relationships/hyperlink" Target="https://signin.travelers.com/" TargetMode="External" Id="rId6" /><Relationship Type="http://schemas.openxmlformats.org/officeDocument/2006/relationships/hyperlink" Target="https://account.microsoft.com/services?fref=home.drawers.subscriptions.view-all-subscriptions" TargetMode="External" Id="rId7" /><Relationship Type="http://schemas.openxmlformats.org/officeDocument/2006/relationships/hyperlink" Target="https://www.spotify.com/us/account/overview/?utm_source=spotify&amp;utm_medium=menu&amp;utm_campaign=your_account" TargetMode="External" Id="rId8" /><Relationship Type="http://schemas.openxmlformats.org/officeDocument/2006/relationships/hyperlink" Target="https://www.i3broadband.com/my-account/" TargetMode="External" Id="rId9" /><Relationship Type="http://schemas.openxmlformats.org/officeDocument/2006/relationships/hyperlink" Target="https://account.apple.com/account/manage" TargetMode="External" Id="rId10" /><Relationship Type="http://schemas.openxmlformats.org/officeDocument/2006/relationships/hyperlink" Target="https://account.apple.com/account/manage" TargetMode="External" Id="rId11" /><Relationship Type="http://schemas.openxmlformats.org/officeDocument/2006/relationships/hyperlink" Target="https://mycube.cubesmart.com/" TargetMode="External" Id="rId12" /><Relationship Type="http://schemas.openxmlformats.org/officeDocument/2006/relationships/hyperlink" Target="https://www.osfmychart.org/OSFMyChart/billing/guestpay/payasguest" TargetMode="External" Id="rId13" /><Relationship Type="http://schemas.openxmlformats.org/officeDocument/2006/relationships/hyperlink" Target="https://peoriail.municipalonlinepayments.com/peoriail/utilities" TargetMode="External" Id="rId14" /><Relationship Type="http://schemas.openxmlformats.org/officeDocument/2006/relationships/hyperlink" Target="https://webpay.1tech.net/GPSD/" TargetMode="External" Id="rId15" /><Relationship Type="http://schemas.openxmlformats.org/officeDocument/2006/relationships/hyperlink" Target="https://www.samsclub.com/" TargetMode="External" Id="rId16" /><Relationship Type="http://schemas.openxmlformats.org/officeDocument/2006/relationships/hyperlink" Target="https://www.netflix.com/account" TargetMode="External" Id="rId17" /><Relationship Type="http://schemas.openxmlformats.org/officeDocument/2006/relationships/hyperlink" Target="http://topteacher.com" TargetMode="External" Id="rId18" /><Relationship Type="http://schemas.openxmlformats.org/officeDocument/2006/relationships/hyperlink" Target="http://otter.ai" TargetMode="External" Id="rId19" /><Relationship Type="http://schemas.openxmlformats.org/officeDocument/2006/relationships/table" Target="/xl/tables/table3.xml" Id="rId20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9.14" customWidth="1" style="38" min="1" max="1"/>
    <col width="17.57" customWidth="1" style="38" min="2" max="2"/>
    <col width="14.57" customWidth="1" style="38" min="3" max="3"/>
    <col width="31.29" customWidth="1" style="38" min="4" max="4"/>
    <col width="4.14" customWidth="1" style="38" min="5" max="5"/>
    <col width="21" customWidth="1" style="38" min="6" max="6"/>
    <col width="17.43" customWidth="1" style="38" min="7" max="7"/>
    <col width="18.43" customWidth="1" style="38" min="8" max="8"/>
    <col width="21" customWidth="1" style="38" min="9" max="9"/>
    <col width="8.710000000000001" customWidth="1" style="38" min="10" max="26"/>
  </cols>
  <sheetData>
    <row r="1" ht="22.5" customHeight="1" s="38">
      <c r="A1" s="1" t="inlineStr">
        <is>
          <t>Name</t>
        </is>
      </c>
      <c r="B1" s="1" t="inlineStr">
        <is>
          <t>Balance</t>
        </is>
      </c>
      <c r="C1" s="1" t="inlineStr">
        <is>
          <t>Type</t>
        </is>
      </c>
      <c r="D1" s="1" t="inlineStr">
        <is>
          <t>Include in Workbench?</t>
        </is>
      </c>
      <c r="I1" s="10" t="n"/>
    </row>
    <row r="2" ht="22.5" customHeight="1" s="38">
      <c r="A2" s="30" t="inlineStr">
        <is>
          <t>CHK 1, JGW (01 09302479)</t>
        </is>
      </c>
      <c r="B2" s="27" t="n">
        <v>1827.6</v>
      </c>
      <c r="C2" s="30" t="inlineStr">
        <is>
          <t>Asset</t>
        </is>
      </c>
      <c r="D2" s="30" t="b">
        <v>1</v>
      </c>
      <c r="I2" s="10" t="n"/>
    </row>
    <row r="3" ht="22.5" customHeight="1" s="38">
      <c r="A3" s="30" t="inlineStr">
        <is>
          <t>CHK 2, CMW (01 13107529)</t>
        </is>
      </c>
      <c r="B3" s="27" t="n">
        <v>2277.3</v>
      </c>
      <c r="C3" s="30" t="inlineStr">
        <is>
          <t>Asset</t>
        </is>
      </c>
      <c r="D3" s="30" t="n"/>
      <c r="I3" s="7" t="n"/>
    </row>
    <row r="4" ht="22.5" customHeight="1" s="38">
      <c r="A4" s="30" t="inlineStr">
        <is>
          <t>GROCERIES (1310752-020)</t>
        </is>
      </c>
      <c r="B4" s="27" t="n">
        <v>1289.51</v>
      </c>
      <c r="C4" s="30" t="inlineStr">
        <is>
          <t>Asset</t>
        </is>
      </c>
      <c r="D4" s="30" t="n"/>
    </row>
    <row r="5" ht="22.5" customHeight="1" s="38">
      <c r="A5" s="30" t="inlineStr">
        <is>
          <t>GAS (0930247-024)</t>
        </is>
      </c>
      <c r="B5" s="27" t="n">
        <v>130</v>
      </c>
      <c r="C5" s="30" t="inlineStr">
        <is>
          <t>Asset</t>
        </is>
      </c>
      <c r="D5" s="30" t="n"/>
      <c r="I5" s="10" t="n"/>
    </row>
    <row r="6" ht="22.5" customHeight="1" s="38">
      <c r="A6" s="30" t="inlineStr">
        <is>
          <t>MASTERCARD CMW (3619)</t>
        </is>
      </c>
      <c r="B6" s="27" t="n">
        <v>1016.97</v>
      </c>
      <c r="C6" s="30" t="inlineStr">
        <is>
          <t>Liability</t>
        </is>
      </c>
      <c r="D6" s="30" t="n"/>
      <c r="I6" s="10" t="n"/>
    </row>
    <row r="7" ht="22.5" customHeight="1" s="38">
      <c r="A7" s="30" t="inlineStr">
        <is>
          <t>MASTERCARD JGW (9299)</t>
        </is>
      </c>
      <c r="B7" s="27" t="n">
        <v>226.36</v>
      </c>
      <c r="C7" s="30" t="inlineStr">
        <is>
          <t>Liability</t>
        </is>
      </c>
      <c r="D7" s="30" t="n"/>
      <c r="I7" s="10" t="n"/>
    </row>
    <row r="8" ht="22.5" customHeight="1" s="38">
      <c r="A8" s="30" t="inlineStr">
        <is>
          <t>SAMS CC (1261)</t>
        </is>
      </c>
      <c r="B8" s="27" t="n">
        <v>0</v>
      </c>
      <c r="C8" s="30" t="inlineStr">
        <is>
          <t>Liability</t>
        </is>
      </c>
      <c r="D8" s="30" t="n"/>
      <c r="I8" s="10" t="n"/>
    </row>
    <row r="9" ht="22.5" customHeight="1" s="38">
      <c r="A9" s="30" t="inlineStr">
        <is>
          <t>EMERGENCY (1310752-021)</t>
        </is>
      </c>
      <c r="B9" s="27" t="n">
        <v>3557.5</v>
      </c>
      <c r="C9" s="30" t="inlineStr">
        <is>
          <t>Asset</t>
        </is>
      </c>
      <c r="D9" s="30" t="n"/>
      <c r="I9" s="10" t="n"/>
    </row>
    <row r="10" ht="22.5" customHeight="1" s="38">
      <c r="A10" s="30" t="inlineStr">
        <is>
          <t>MORTGAGE (0930247-021)</t>
        </is>
      </c>
      <c r="B10" s="27" t="n">
        <v>769.3099999999999</v>
      </c>
      <c r="C10" s="30" t="inlineStr">
        <is>
          <t>Asset</t>
        </is>
      </c>
      <c r="D10" s="30" t="n"/>
      <c r="I10" s="10" t="n"/>
    </row>
    <row r="11" ht="22.5" customHeight="1" s="38">
      <c r="A11" s="30" t="inlineStr">
        <is>
          <t>SAV 1, JGW (0930247)</t>
        </is>
      </c>
      <c r="B11" s="27" t="n"/>
      <c r="C11" s="30" t="inlineStr">
        <is>
          <t>Asset</t>
        </is>
      </c>
      <c r="D11" s="30" t="n"/>
      <c r="I11" s="10" t="n"/>
    </row>
    <row r="12" ht="22.5" customHeight="1" s="38">
      <c r="A12" s="30" t="inlineStr">
        <is>
          <t>SAV 2, CMW (1310752)</t>
        </is>
      </c>
      <c r="B12" s="27" t="n"/>
      <c r="C12" s="30" t="inlineStr">
        <is>
          <t>Asset</t>
        </is>
      </c>
      <c r="D12" s="30" t="n"/>
      <c r="I12" s="10" t="n"/>
    </row>
    <row r="13">
      <c r="B13" s="9" t="n"/>
      <c r="C13" s="10" t="n"/>
      <c r="D13" s="10" t="n"/>
      <c r="I13" s="10" t="n"/>
    </row>
    <row r="14">
      <c r="A14" s="11" t="inlineStr">
        <is>
          <t>Total Assets</t>
        </is>
      </c>
      <c r="B14" s="12">
        <f>SUMIFS(B2:B105,C2:C105,"Asset")</f>
        <v/>
      </c>
      <c r="C14" s="10" t="n"/>
      <c r="D14" s="10" t="n"/>
      <c r="I14" s="10" t="n"/>
    </row>
    <row r="15">
      <c r="A15" s="11" t="inlineStr">
        <is>
          <t>Total Liabilities</t>
        </is>
      </c>
      <c r="B15" s="12">
        <f>SUMIFS(B2:B105,C2:C105,"Liability")</f>
        <v/>
      </c>
      <c r="C15" s="10" t="n"/>
      <c r="D15" s="10" t="n"/>
      <c r="I15" s="10" t="n"/>
    </row>
    <row r="16">
      <c r="A16" s="13" t="inlineStr">
        <is>
          <t>Net Worth</t>
        </is>
      </c>
      <c r="B16" s="14">
        <f>B14-B15</f>
        <v/>
      </c>
      <c r="C16" s="10" t="n"/>
      <c r="D16" s="10" t="n"/>
      <c r="I16" s="10" t="n"/>
    </row>
    <row r="17">
      <c r="B17" s="9" t="n"/>
      <c r="C17" s="10" t="n"/>
      <c r="D17" s="10" t="n"/>
      <c r="I17" s="10" t="n"/>
    </row>
    <row r="18">
      <c r="A18" s="15" t="inlineStr">
        <is>
          <t>Workbench</t>
        </is>
      </c>
      <c r="B18" s="16">
        <f>SUMIFS(B2:B105,C2:C105,"Asset",D2:D105,TRUE)-SUMIFS(B2:B105,C2:C105,"Liability",D2:D105,TRUE)</f>
        <v/>
      </c>
      <c r="C18" s="10" t="n"/>
      <c r="D18" s="10" t="n"/>
      <c r="I18" s="10" t="n"/>
    </row>
    <row r="19">
      <c r="B19" s="9" t="n"/>
      <c r="C19" s="10" t="n"/>
      <c r="D19" s="10" t="n"/>
      <c r="I19" s="10" t="n"/>
    </row>
    <row r="20">
      <c r="B20" s="9" t="n"/>
      <c r="C20" s="10" t="n"/>
      <c r="D20" s="10" t="n"/>
      <c r="I20" s="10" t="n"/>
    </row>
    <row r="21" ht="15.75" customHeight="1" s="38">
      <c r="B21" s="9" t="n"/>
      <c r="C21" s="10" t="n"/>
      <c r="D21" s="10" t="n"/>
      <c r="I21" s="10" t="n"/>
    </row>
    <row r="22" ht="15.75" customHeight="1" s="38">
      <c r="B22" s="9" t="n"/>
      <c r="C22" s="10" t="n"/>
      <c r="D22" s="10" t="n"/>
      <c r="I22" s="10" t="n"/>
    </row>
    <row r="23" ht="15.75" customHeight="1" s="38">
      <c r="C23" s="10" t="n"/>
      <c r="D23" s="10" t="n"/>
      <c r="I23" s="10" t="n"/>
    </row>
    <row r="24" ht="15.75" customHeight="1" s="38">
      <c r="C24" s="10" t="n"/>
      <c r="D24" s="10" t="n"/>
      <c r="F24" s="10" t="n"/>
      <c r="G24" s="10" t="n"/>
      <c r="H24" s="10" t="n"/>
      <c r="I24" s="10" t="n"/>
    </row>
    <row r="25" ht="15.75" customHeight="1" s="38">
      <c r="C25" s="10" t="n"/>
      <c r="D25" s="10" t="n"/>
      <c r="F25" s="10" t="n"/>
      <c r="G25" s="10" t="n"/>
      <c r="H25" s="10" t="n"/>
      <c r="I25" s="10" t="n"/>
    </row>
    <row r="26" ht="15.75" customHeight="1" s="38">
      <c r="C26" s="10" t="n"/>
      <c r="D26" s="10" t="n"/>
      <c r="F26" s="10" t="n"/>
      <c r="G26" s="10" t="n"/>
      <c r="H26" s="10" t="n"/>
      <c r="I26" s="10" t="n"/>
    </row>
    <row r="27" ht="15.75" customHeight="1" s="38">
      <c r="C27" s="10" t="n"/>
      <c r="D27" s="10" t="n"/>
      <c r="F27" s="10" t="n"/>
      <c r="G27" s="10" t="n"/>
      <c r="H27" s="10" t="n"/>
      <c r="I27" s="10" t="n"/>
    </row>
    <row r="28" ht="15.75" customHeight="1" s="38">
      <c r="C28" s="10" t="n"/>
      <c r="D28" s="10" t="n"/>
      <c r="F28" s="10" t="n"/>
      <c r="G28" s="10" t="n"/>
      <c r="H28" s="10" t="n"/>
      <c r="I28" s="10" t="n"/>
    </row>
    <row r="29" ht="15.75" customHeight="1" s="38">
      <c r="C29" s="10" t="n"/>
      <c r="D29" s="10" t="n"/>
      <c r="F29" s="10" t="n"/>
      <c r="G29" s="10" t="n"/>
      <c r="H29" s="10" t="n"/>
      <c r="I29" s="10" t="n"/>
    </row>
    <row r="30" ht="15.75" customHeight="1" s="38">
      <c r="C30" s="10" t="n"/>
      <c r="D30" s="10" t="n"/>
      <c r="F30" s="10" t="n"/>
      <c r="G30" s="10" t="n"/>
      <c r="H30" s="10" t="n"/>
      <c r="I30" s="10" t="n"/>
    </row>
    <row r="31" ht="15.75" customHeight="1" s="38">
      <c r="C31" s="10" t="n"/>
      <c r="D31" s="10" t="n"/>
      <c r="F31" s="10" t="n"/>
      <c r="G31" s="10" t="n"/>
      <c r="H31" s="10" t="n"/>
      <c r="I31" s="10" t="n"/>
    </row>
    <row r="32" ht="15.75" customHeight="1" s="38">
      <c r="C32" s="10" t="n"/>
      <c r="D32" s="10" t="n"/>
      <c r="F32" s="10" t="n"/>
      <c r="G32" s="10" t="n"/>
      <c r="H32" s="10" t="n"/>
      <c r="I32" s="10" t="n"/>
    </row>
    <row r="33" ht="15.75" customHeight="1" s="38">
      <c r="C33" s="10" t="n"/>
      <c r="D33" s="10" t="n"/>
      <c r="F33" s="10" t="n"/>
      <c r="G33" s="10" t="n"/>
      <c r="H33" s="10" t="n"/>
      <c r="I33" s="10" t="n"/>
    </row>
    <row r="34" ht="15.75" customHeight="1" s="38">
      <c r="C34" s="10" t="n"/>
      <c r="D34" s="10" t="n"/>
      <c r="F34" s="10" t="n"/>
      <c r="G34" s="10" t="n"/>
      <c r="H34" s="10" t="n"/>
      <c r="I34" s="10" t="n"/>
    </row>
    <row r="35" ht="15.75" customHeight="1" s="38">
      <c r="C35" s="10" t="n"/>
      <c r="D35" s="10" t="n"/>
      <c r="F35" s="10" t="n"/>
      <c r="G35" s="10" t="n"/>
      <c r="H35" s="10" t="n"/>
      <c r="I35" s="10" t="n"/>
    </row>
    <row r="36" ht="15.75" customHeight="1" s="38">
      <c r="C36" s="10" t="n"/>
      <c r="D36" s="10" t="n"/>
      <c r="F36" s="10" t="n"/>
      <c r="G36" s="10" t="n"/>
      <c r="H36" s="10" t="n"/>
      <c r="I36" s="10" t="n"/>
    </row>
    <row r="37" ht="15.75" customHeight="1" s="38">
      <c r="C37" s="10" t="n"/>
      <c r="D37" s="10" t="n"/>
      <c r="F37" s="10" t="n"/>
      <c r="G37" s="10" t="n"/>
      <c r="H37" s="10" t="n"/>
      <c r="I37" s="10" t="n"/>
    </row>
    <row r="38" ht="15.75" customHeight="1" s="38">
      <c r="C38" s="10" t="n"/>
      <c r="D38" s="10" t="n"/>
      <c r="F38" s="10" t="n"/>
      <c r="G38" s="10" t="n"/>
      <c r="H38" s="10" t="n"/>
      <c r="I38" s="10" t="n"/>
    </row>
    <row r="39" ht="15.75" customHeight="1" s="38">
      <c r="C39" s="10" t="n"/>
      <c r="D39" s="10" t="n"/>
    </row>
    <row r="40" ht="15.75" customHeight="1" s="38">
      <c r="C40" s="10" t="n"/>
      <c r="D40" s="10" t="n"/>
    </row>
    <row r="41" ht="15.75" customHeight="1" s="38">
      <c r="C41" s="10" t="n"/>
      <c r="D41" s="10" t="n"/>
    </row>
    <row r="42" ht="15.75" customHeight="1" s="38">
      <c r="C42" s="10" t="n"/>
      <c r="D42" s="10" t="n"/>
    </row>
    <row r="43" ht="15.75" customHeight="1" s="38">
      <c r="C43" s="10" t="n"/>
      <c r="D43" s="10" t="n"/>
    </row>
    <row r="44" ht="15.75" customHeight="1" s="38">
      <c r="C44" s="10" t="n"/>
      <c r="D44" s="10" t="n"/>
    </row>
    <row r="45" ht="15.75" customHeight="1" s="38">
      <c r="C45" s="10" t="n"/>
      <c r="D45" s="10" t="n"/>
    </row>
    <row r="46" ht="15.75" customHeight="1" s="38">
      <c r="C46" s="10" t="n"/>
      <c r="D46" s="10" t="n"/>
    </row>
    <row r="47" ht="15.75" customHeight="1" s="38">
      <c r="C47" s="10" t="n"/>
      <c r="D47" s="10" t="n"/>
    </row>
    <row r="48" ht="15.75" customHeight="1" s="38">
      <c r="C48" s="10" t="n"/>
      <c r="D48" s="10" t="n"/>
    </row>
    <row r="49" ht="15.75" customHeight="1" s="38">
      <c r="C49" s="10" t="n"/>
      <c r="D49" s="10" t="n"/>
    </row>
    <row r="50" ht="15.75" customHeight="1" s="38">
      <c r="C50" s="10" t="n"/>
      <c r="D50" s="10" t="n"/>
    </row>
    <row r="51" ht="15.75" customHeight="1" s="38">
      <c r="C51" s="10" t="n"/>
      <c r="D51" s="10" t="n"/>
    </row>
    <row r="52" ht="15.75" customHeight="1" s="38">
      <c r="C52" s="10" t="n"/>
      <c r="D52" s="10" t="n"/>
    </row>
    <row r="53" ht="15.75" customHeight="1" s="38">
      <c r="C53" s="10" t="n"/>
      <c r="D53" s="10" t="n"/>
    </row>
    <row r="54" ht="15.75" customHeight="1" s="38">
      <c r="C54" s="10" t="n"/>
      <c r="D54" s="10" t="n"/>
    </row>
    <row r="55" ht="15.75" customHeight="1" s="38">
      <c r="C55" s="10" t="n"/>
      <c r="D55" s="10" t="n"/>
    </row>
    <row r="56" ht="15.75" customHeight="1" s="38">
      <c r="C56" s="10" t="n"/>
      <c r="D56" s="10" t="n"/>
    </row>
    <row r="57" ht="15.75" customHeight="1" s="38">
      <c r="C57" s="10" t="n"/>
      <c r="D57" s="10" t="n"/>
    </row>
    <row r="58" ht="15.75" customHeight="1" s="38">
      <c r="C58" s="10" t="n"/>
      <c r="D58" s="10" t="n"/>
    </row>
    <row r="59" ht="15.75" customHeight="1" s="38">
      <c r="C59" s="10" t="n"/>
      <c r="D59" s="10" t="n"/>
    </row>
    <row r="60" ht="15.75" customHeight="1" s="38">
      <c r="C60" s="10" t="n"/>
      <c r="D60" s="10" t="n"/>
    </row>
    <row r="61" ht="15.75" customHeight="1" s="38">
      <c r="C61" s="10" t="n"/>
      <c r="D61" s="10" t="n"/>
    </row>
    <row r="62" ht="15.75" customHeight="1" s="38">
      <c r="C62" s="10" t="n"/>
      <c r="D62" s="10" t="n"/>
    </row>
    <row r="63" ht="15.75" customHeight="1" s="38">
      <c r="C63" s="10" t="n"/>
      <c r="D63" s="10" t="n"/>
    </row>
    <row r="64" ht="15.75" customHeight="1" s="38">
      <c r="C64" s="10" t="n"/>
      <c r="D64" s="10" t="n"/>
    </row>
    <row r="65" ht="15.75" customHeight="1" s="38">
      <c r="C65" s="10" t="n"/>
      <c r="D65" s="10" t="n"/>
    </row>
    <row r="66" ht="15.75" customHeight="1" s="38">
      <c r="C66" s="10" t="n"/>
      <c r="D66" s="10" t="n"/>
    </row>
    <row r="67" ht="15.75" customHeight="1" s="38">
      <c r="C67" s="10" t="n"/>
      <c r="D67" s="10" t="n"/>
    </row>
    <row r="68" ht="15.75" customHeight="1" s="38">
      <c r="C68" s="10" t="n"/>
      <c r="D68" s="10" t="n"/>
    </row>
    <row r="69" ht="15.75" customHeight="1" s="38">
      <c r="C69" s="10" t="n"/>
      <c r="D69" s="10" t="n"/>
    </row>
    <row r="70" ht="15.75" customHeight="1" s="38">
      <c r="C70" s="10" t="n"/>
      <c r="D70" s="10" t="n"/>
    </row>
    <row r="71" ht="15.75" customHeight="1" s="38">
      <c r="C71" s="10" t="n"/>
      <c r="D71" s="10" t="n"/>
    </row>
    <row r="72" ht="15.75" customHeight="1" s="38">
      <c r="C72" s="10" t="n"/>
      <c r="D72" s="10" t="n"/>
    </row>
    <row r="73" ht="15.75" customHeight="1" s="38">
      <c r="C73" s="10" t="n"/>
      <c r="D73" s="10" t="n"/>
    </row>
    <row r="74" ht="15.75" customHeight="1" s="38">
      <c r="C74" s="10" t="n"/>
      <c r="D74" s="10" t="n"/>
    </row>
    <row r="75" ht="15.75" customHeight="1" s="38">
      <c r="C75" s="10" t="n"/>
      <c r="D75" s="10" t="n"/>
    </row>
    <row r="76" ht="15.75" customHeight="1" s="38">
      <c r="C76" s="10" t="n"/>
      <c r="D76" s="10" t="n"/>
    </row>
    <row r="77" ht="15.75" customHeight="1" s="38">
      <c r="C77" s="10" t="n"/>
      <c r="D77" s="10" t="n"/>
    </row>
    <row r="78" ht="15.75" customHeight="1" s="38">
      <c r="C78" s="10" t="n"/>
      <c r="D78" s="10" t="n"/>
    </row>
    <row r="79" ht="15.75" customHeight="1" s="38">
      <c r="C79" s="10" t="n"/>
      <c r="D79" s="10" t="n"/>
    </row>
    <row r="80" ht="15.75" customHeight="1" s="38">
      <c r="C80" s="10" t="n"/>
      <c r="D80" s="10" t="n"/>
    </row>
    <row r="81" ht="15.75" customHeight="1" s="38">
      <c r="C81" s="10" t="n"/>
      <c r="D81" s="10" t="n"/>
    </row>
    <row r="82" ht="15.75" customHeight="1" s="38">
      <c r="C82" s="10" t="n"/>
      <c r="D82" s="10" t="n"/>
    </row>
    <row r="83" ht="15.75" customHeight="1" s="38">
      <c r="C83" s="10" t="n"/>
      <c r="D83" s="10" t="n"/>
    </row>
    <row r="84" ht="15.75" customHeight="1" s="38">
      <c r="C84" s="10" t="n"/>
      <c r="D84" s="10" t="n"/>
    </row>
    <row r="85" ht="15.75" customHeight="1" s="38">
      <c r="C85" s="10" t="n"/>
      <c r="D85" s="10" t="n"/>
    </row>
    <row r="86" ht="15.75" customHeight="1" s="38">
      <c r="C86" s="10" t="n"/>
      <c r="D86" s="10" t="n"/>
    </row>
    <row r="87" ht="15.75" customHeight="1" s="38">
      <c r="C87" s="10" t="n"/>
      <c r="D87" s="10" t="n"/>
    </row>
    <row r="88" ht="15.75" customHeight="1" s="38">
      <c r="C88" s="10" t="n"/>
      <c r="D88" s="10" t="n"/>
    </row>
    <row r="89" ht="15.75" customHeight="1" s="38">
      <c r="C89" s="10" t="n"/>
      <c r="D89" s="10" t="n"/>
    </row>
    <row r="90" ht="15.75" customHeight="1" s="38">
      <c r="C90" s="10" t="n"/>
      <c r="D90" s="10" t="n"/>
    </row>
    <row r="91" ht="15.75" customHeight="1" s="38">
      <c r="C91" s="10" t="n"/>
      <c r="D91" s="10" t="n"/>
    </row>
    <row r="92" ht="15.75" customHeight="1" s="38">
      <c r="C92" s="10" t="n"/>
      <c r="D92" s="10" t="n"/>
    </row>
    <row r="93" ht="15.75" customHeight="1" s="38">
      <c r="C93" s="10" t="n"/>
      <c r="D93" s="10" t="n"/>
    </row>
    <row r="94" ht="15.75" customHeight="1" s="38">
      <c r="C94" s="10" t="n"/>
      <c r="D94" s="10" t="n"/>
    </row>
    <row r="95" ht="15.75" customHeight="1" s="38">
      <c r="C95" s="10" t="n"/>
      <c r="D95" s="10" t="n"/>
    </row>
    <row r="96" ht="15.75" customHeight="1" s="38">
      <c r="C96" s="10" t="n"/>
      <c r="D96" s="10" t="n"/>
    </row>
    <row r="97" ht="15.75" customHeight="1" s="38">
      <c r="C97" s="10" t="n"/>
      <c r="D97" s="10" t="n"/>
    </row>
    <row r="98" ht="15.75" customHeight="1" s="38">
      <c r="C98" s="10" t="n"/>
      <c r="D98" s="10" t="n"/>
    </row>
    <row r="99" ht="15.75" customHeight="1" s="38">
      <c r="C99" s="10" t="n"/>
      <c r="D99" s="10" t="n"/>
    </row>
    <row r="100" ht="15.75" customHeight="1" s="38">
      <c r="C100" s="10" t="n"/>
      <c r="D100" s="10" t="n"/>
    </row>
    <row r="101" ht="15.75" customHeight="1" s="38">
      <c r="C101" s="10" t="n"/>
      <c r="D101" s="10" t="n"/>
    </row>
    <row r="102" ht="15.75" customHeight="1" s="38">
      <c r="C102" s="10" t="n"/>
      <c r="D102" s="10" t="n"/>
    </row>
    <row r="103" ht="15.75" customHeight="1" s="38">
      <c r="C103" s="10" t="n"/>
      <c r="D103" s="10" t="n"/>
    </row>
    <row r="104" ht="15.75" customHeight="1" s="38">
      <c r="C104" s="10" t="n"/>
      <c r="D104" s="10" t="n"/>
    </row>
    <row r="105" ht="15.75" customHeight="1" s="38">
      <c r="C105" s="10" t="n"/>
      <c r="D105" s="10" t="n"/>
    </row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conditionalFormatting sqref="A2:D12">
    <cfRule type="expression" priority="1" dxfId="5">
      <formula>$D2=TRUE</formula>
    </cfRule>
  </conditionalFormatting>
  <conditionalFormatting sqref="I21">
    <cfRule type="notContainsBlanks" priority="2" dxfId="6">
      <formula>LEN(TRIM(I21))&gt;0</formula>
    </cfRule>
  </conditionalFormatting>
  <dataValidations count="5">
    <dataValidation sqref="C2:C12" showDropDown="0" showInputMessage="0" showErrorMessage="0" allowBlank="1" type="list">
      <formula1>"Asset,Liability"</formula1>
    </dataValidation>
    <dataValidation sqref="C13:C105" showDropDown="0" showInputMessage="0" showErrorMessage="0" allowBlank="1" type="list">
      <formula1>"Asset,Liability"</formula1>
    </dataValidation>
    <dataValidation sqref="B2:B12" showDropDown="1" showInputMessage="0" showErrorMessage="0" allowBlank="1" type="custom">
      <formula1>AND(ISNUMBER(B2),(NOT(OR(NOT(ISERROR(DATEVALUE(B2))), AND(ISNUMBER(B2), LEFT(CELL("format", B2))="D")))))</formula1>
    </dataValidation>
    <dataValidation sqref="D13:D105" showDropDown="0" showInputMessage="0" showErrorMessage="0" allowBlank="1" type="list">
      <formula1>"TRUE,FALSE"</formula1>
    </dataValidation>
    <dataValidation sqref="D2:D12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38"/>
  <sheetViews>
    <sheetView workbookViewId="0">
      <selection activeCell="A1" sqref="A1"/>
    </sheetView>
  </sheetViews>
  <sheetFormatPr baseColWidth="8" defaultColWidth="14.43" defaultRowHeight="15" customHeight="1"/>
  <cols>
    <col width="21" customWidth="1" style="38" min="1" max="1"/>
    <col width="17.43" customWidth="1" style="38" min="2" max="2"/>
    <col width="18.43" customWidth="1" style="38" min="3" max="3"/>
    <col width="13.57" customWidth="1" style="38" min="4" max="4"/>
  </cols>
  <sheetData>
    <row r="1">
      <c r="A1" s="39" t="inlineStr">
        <is>
          <t>Main Cash Flow</t>
        </is>
      </c>
    </row>
    <row r="2">
      <c r="A2" s="20" t="inlineStr">
        <is>
          <t>Current</t>
        </is>
      </c>
      <c r="B2" s="20" t="inlineStr">
        <is>
          <t>Income</t>
        </is>
      </c>
      <c r="C2" s="20" t="inlineStr">
        <is>
          <t>Expenses</t>
        </is>
      </c>
      <c r="D2" s="20" t="inlineStr">
        <is>
          <t>Projected</t>
        </is>
      </c>
    </row>
    <row r="3">
      <c r="A3" s="21">
        <f>Accounts!$B18</f>
        <v/>
      </c>
      <c r="B3" s="22">
        <f>SUMPRODUCT((D6:D200=TRUE)*(B6:B200&gt;0)*B6:B200)</f>
        <v/>
      </c>
      <c r="C3" s="23">
        <f>SUMPRODUCT((D6:D200=TRUE)*(B6:B200&lt;0)*B6:B200)</f>
        <v/>
      </c>
      <c r="D3" s="24">
        <f>A3+B3+C3</f>
        <v/>
      </c>
    </row>
    <row r="5" ht="22.5" customHeight="1" s="38">
      <c r="A5" s="37" t="inlineStr">
        <is>
          <t>Description</t>
        </is>
      </c>
      <c r="B5" s="37" t="inlineStr">
        <is>
          <t>Amount</t>
        </is>
      </c>
      <c r="C5" s="37" t="inlineStr">
        <is>
          <t>Due Date</t>
        </is>
      </c>
      <c r="D5" s="37" t="inlineStr">
        <is>
          <t>In Calc?</t>
        </is>
      </c>
    </row>
    <row r="6" ht="22.5" customHeight="1" s="38">
      <c r="A6" s="30" t="inlineStr">
        <is>
          <t>Studio - may rent</t>
        </is>
      </c>
      <c r="B6" s="27" t="n">
        <v>400</v>
      </c>
      <c r="C6" s="28" t="n"/>
      <c r="D6" s="30" t="n"/>
    </row>
    <row r="7" ht="22.5" customHeight="1" s="38">
      <c r="B7" s="27" t="n"/>
      <c r="C7" s="28" t="n"/>
      <c r="D7" s="30" t="n"/>
    </row>
    <row r="8" ht="22.5" customHeight="1" s="38">
      <c r="B8" s="27" t="n"/>
      <c r="C8" s="28" t="n"/>
      <c r="D8" s="30" t="n"/>
    </row>
    <row r="9" ht="22.5" customHeight="1" s="38">
      <c r="B9" s="27" t="n"/>
      <c r="C9" s="28" t="n"/>
      <c r="D9" s="30" t="n"/>
    </row>
    <row r="10" ht="22.5" customHeight="1" s="38">
      <c r="B10" s="27" t="n"/>
      <c r="C10" s="28" t="n"/>
      <c r="D10" s="30" t="n"/>
    </row>
    <row r="11" ht="22.5" customHeight="1" s="38">
      <c r="B11" s="27" t="n"/>
      <c r="C11" s="28" t="n"/>
      <c r="D11" s="30" t="n"/>
    </row>
    <row r="12" ht="22.5" customHeight="1" s="38">
      <c r="B12" s="27" t="n"/>
      <c r="C12" s="28" t="n"/>
      <c r="D12" s="30" t="n"/>
    </row>
    <row r="13" ht="22.5" customHeight="1" s="38">
      <c r="B13" s="27" t="n"/>
      <c r="C13" s="28" t="n"/>
      <c r="D13" s="30" t="n"/>
    </row>
    <row r="14" ht="22.5" customHeight="1" s="38">
      <c r="B14" s="27" t="n"/>
      <c r="C14" s="28" t="n"/>
      <c r="D14" s="30" t="n"/>
    </row>
    <row r="15" ht="22.5" customHeight="1" s="38">
      <c r="B15" s="27" t="n"/>
      <c r="C15" s="28" t="n"/>
      <c r="D15" s="30" t="n"/>
    </row>
    <row r="16" ht="22.5" customHeight="1" s="38">
      <c r="B16" s="27" t="n"/>
      <c r="C16" s="28" t="n"/>
      <c r="D16" s="30" t="n"/>
    </row>
    <row r="17" ht="22.5" customHeight="1" s="38">
      <c r="B17" s="27" t="n"/>
      <c r="C17" s="28" t="n"/>
      <c r="D17" s="30" t="n"/>
    </row>
    <row r="18" ht="22.5" customHeight="1" s="38">
      <c r="B18" s="27" t="n"/>
      <c r="C18" s="28" t="n"/>
      <c r="D18" s="30" t="n"/>
    </row>
    <row r="19" ht="22.5" customHeight="1" s="38">
      <c r="B19" s="27" t="n"/>
      <c r="C19" s="28" t="n"/>
      <c r="D19" s="30" t="n"/>
    </row>
    <row r="20" ht="22.5" customHeight="1" s="38">
      <c r="B20" s="27" t="n"/>
      <c r="C20" s="28" t="n"/>
      <c r="D20" s="30" t="n"/>
    </row>
    <row r="21" ht="22.5" customHeight="1" s="38">
      <c r="B21" s="27" t="n"/>
      <c r="C21" s="28" t="n"/>
      <c r="D21" s="30" t="n"/>
    </row>
    <row r="22" ht="22.5" customHeight="1" s="38">
      <c r="B22" s="27" t="n"/>
      <c r="C22" s="28" t="n"/>
      <c r="D22" s="30" t="n"/>
    </row>
    <row r="23" ht="22.5" customHeight="1" s="38">
      <c r="B23" s="27" t="n"/>
      <c r="C23" s="28" t="n"/>
      <c r="D23" s="30" t="n"/>
    </row>
    <row r="24" ht="22.5" customHeight="1" s="38">
      <c r="B24" s="27" t="n"/>
      <c r="C24" s="28" t="n"/>
      <c r="D24" s="30" t="n"/>
    </row>
    <row r="25" ht="22.5" customHeight="1" s="38">
      <c r="B25" s="27" t="n"/>
      <c r="C25" s="28" t="n"/>
      <c r="D25" s="30" t="n"/>
    </row>
    <row r="26" ht="22.5" customHeight="1" s="38">
      <c r="B26" s="27" t="n"/>
      <c r="C26" s="28" t="n"/>
      <c r="D26" s="30" t="n"/>
    </row>
    <row r="27" ht="22.5" customHeight="1" s="38">
      <c r="B27" s="27" t="n"/>
      <c r="C27" s="28" t="n"/>
      <c r="D27" s="30" t="n"/>
    </row>
    <row r="28" ht="22.5" customHeight="1" s="38">
      <c r="B28" s="27" t="n"/>
      <c r="C28" s="28" t="n"/>
      <c r="D28" s="30" t="n"/>
    </row>
    <row r="29" ht="22.5" customHeight="1" s="38">
      <c r="B29" s="27" t="n"/>
      <c r="C29" s="28" t="n"/>
      <c r="D29" s="30" t="n"/>
    </row>
    <row r="30" ht="22.5" customHeight="1" s="38">
      <c r="B30" s="27" t="n"/>
      <c r="C30" s="28" t="n"/>
      <c r="D30" s="30" t="n"/>
    </row>
    <row r="31" ht="22.5" customHeight="1" s="38">
      <c r="B31" s="27" t="n"/>
      <c r="C31" s="28" t="n"/>
      <c r="D31" s="30" t="n"/>
    </row>
    <row r="32" ht="22.5" customHeight="1" s="38">
      <c r="B32" s="27" t="n"/>
      <c r="C32" s="28" t="n"/>
      <c r="D32" s="30" t="n"/>
    </row>
    <row r="33" ht="22.5" customHeight="1" s="38">
      <c r="B33" s="27" t="n"/>
      <c r="C33" s="28" t="n"/>
      <c r="D33" s="30" t="n"/>
    </row>
    <row r="34" ht="22.5" customHeight="1" s="38">
      <c r="B34" s="27" t="n"/>
      <c r="C34" s="28" t="n"/>
      <c r="D34" s="30" t="n"/>
    </row>
    <row r="35" ht="22.5" customHeight="1" s="38">
      <c r="B35" s="27" t="n"/>
      <c r="C35" s="28" t="n"/>
      <c r="D35" s="30" t="n"/>
    </row>
    <row r="36" ht="22.5" customHeight="1" s="38">
      <c r="B36" s="27" t="n"/>
      <c r="C36" s="28" t="n"/>
      <c r="D36" s="30" t="n"/>
    </row>
    <row r="37" ht="22.5" customHeight="1" s="38">
      <c r="B37" s="27" t="n"/>
      <c r="C37" s="28" t="n"/>
      <c r="D37" s="30" t="n"/>
    </row>
    <row r="38" ht="22.5" customHeight="1" s="38">
      <c r="B38" s="27" t="n"/>
      <c r="C38" s="28" t="n"/>
      <c r="D38" s="30" t="n"/>
    </row>
  </sheetData>
  <mergeCells count="1">
    <mergeCell ref="A1:D1"/>
  </mergeCells>
  <conditionalFormatting sqref="A6:D38">
    <cfRule type="expression" priority="1" dxfId="7">
      <formula>$D6=TRUE</formula>
    </cfRule>
  </conditionalFormatting>
  <dataValidations count="3">
    <dataValidation sqref="C6:C38" showDropDown="1" showInputMessage="0" showErrorMessage="0" allowBlank="1" type="custom">
      <formula1>OR(NOT(ISERROR(DATEVALUE(C6))), AND(ISNUMBER(C6), LEFT(CELL("format", C6))="D"))</formula1>
    </dataValidation>
    <dataValidation sqref="D6:D38" showDropDown="0" showInputMessage="0" showErrorMessage="0" allowBlank="1" type="list">
      <formula1>"TRUE,FALSE"</formula1>
    </dataValidation>
    <dataValidation sqref="B6:B38" showDropDown="1" showInputMessage="0" showErrorMessage="0" allowBlank="1" type="custom">
      <formula1>AND(ISNUMBER(B6),(NOT(OR(NOT(ISERROR(DATEVALUE(B6))), AND(ISNUMBER(B6), LEFT(CELL("format", B6))="D")))))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38" min="1" max="1"/>
    <col width="17.43" customWidth="1" style="38" min="2" max="2"/>
    <col width="19.57" customWidth="1" style="38" min="3" max="3"/>
    <col width="18.43" customWidth="1" style="38" min="4" max="4"/>
    <col width="18.71" customWidth="1" style="38" min="5" max="5"/>
    <col width="2.14" customWidth="1" style="38" min="6" max="6"/>
    <col width="23.14" customWidth="1" style="38" min="7" max="7"/>
    <col width="10.43" customWidth="1" style="38" min="8" max="8"/>
    <col width="12" customWidth="1" style="38" min="9" max="9"/>
    <col width="8.710000000000001" customWidth="1" style="38" min="10" max="26"/>
  </cols>
  <sheetData>
    <row r="1" ht="22.5" customHeight="1" s="38">
      <c r="A1" s="37" t="inlineStr">
        <is>
          <t>Name</t>
        </is>
      </c>
      <c r="B1" s="37" t="inlineStr">
        <is>
          <t>Amount</t>
        </is>
      </c>
      <c r="C1" s="37" t="inlineStr">
        <is>
          <t>Frequency</t>
        </is>
      </c>
      <c r="D1" s="37" t="inlineStr">
        <is>
          <t>Next Due</t>
        </is>
      </c>
      <c r="E1" s="37" t="inlineStr">
        <is>
          <t>Last Paid</t>
        </is>
      </c>
      <c r="G1" s="40" t="inlineStr">
        <is>
          <t>Total Monthly Fixed</t>
        </is>
      </c>
      <c r="I1" s="41">
        <f>SUMIFS(B2:B8, C2:C8, "&lt;&gt;Annually", C2:C8, "&lt;&gt;Quarterly")</f>
        <v/>
      </c>
      <c r="K1" s="33" t="n"/>
    </row>
    <row r="2" ht="22.5" customHeight="1" s="38">
      <c r="A2" s="34" t="inlineStr">
        <is>
          <t>M&amp;T Bank</t>
        </is>
      </c>
      <c r="B2" s="27" t="n">
        <v>384.03</v>
      </c>
      <c r="C2" s="30" t="inlineStr">
        <is>
          <t>Bi-weekly</t>
        </is>
      </c>
      <c r="D2" s="28" t="n">
        <v>46149</v>
      </c>
      <c r="E2" s="28" t="n">
        <v>46143</v>
      </c>
      <c r="G2" s="40" t="inlineStr">
        <is>
          <t>Safe to Spend</t>
        </is>
      </c>
      <c r="I2" s="42">
        <f>SUMIFS(Accounts!B2:B105,Accounts!C2:C105,"Asset")-H3</f>
        <v/>
      </c>
      <c r="K2" s="33" t="n"/>
    </row>
    <row r="3" ht="22.5" customHeight="1" s="38">
      <c r="A3" s="30" t="inlineStr">
        <is>
          <t>Wildren Allowance</t>
        </is>
      </c>
      <c r="B3" s="27" t="n">
        <v>64</v>
      </c>
      <c r="C3" s="30" t="inlineStr">
        <is>
          <t>Monthly</t>
        </is>
      </c>
      <c r="D3" s="28" t="n">
        <v>46174</v>
      </c>
      <c r="E3" s="28" t="n">
        <v>46154</v>
      </c>
      <c r="G3" s="10" t="n"/>
      <c r="H3" s="36" t="n"/>
    </row>
    <row r="4" ht="22.5" customHeight="1" s="38">
      <c r="A4" s="34" t="inlineStr">
        <is>
          <t>SMS</t>
        </is>
      </c>
      <c r="B4" s="27" t="n">
        <v>1138.68</v>
      </c>
      <c r="C4" s="30" t="inlineStr">
        <is>
          <t>Monthly</t>
        </is>
      </c>
      <c r="D4" s="28" t="n">
        <v>46204</v>
      </c>
      <c r="E4" s="28" t="n">
        <v>46167</v>
      </c>
      <c r="G4" s="10" t="n"/>
      <c r="H4" s="36" t="n"/>
    </row>
    <row r="5" ht="22.5" customHeight="1" s="38">
      <c r="A5" s="30" t="inlineStr">
        <is>
          <t>Studio Rent</t>
        </is>
      </c>
      <c r="B5" s="27" t="n">
        <v>400</v>
      </c>
      <c r="C5" s="30" t="inlineStr">
        <is>
          <t>Monthly</t>
        </is>
      </c>
      <c r="D5" s="28" t="n">
        <v>46174</v>
      </c>
      <c r="E5" s="28" t="n">
        <v>46150</v>
      </c>
    </row>
    <row r="6" ht="22.5" customHeight="1" s="38">
      <c r="A6" s="34" t="inlineStr">
        <is>
          <t>Ameren</t>
        </is>
      </c>
      <c r="B6" s="27" t="n">
        <v>300</v>
      </c>
      <c r="C6" s="30" t="inlineStr">
        <is>
          <t>Monthly</t>
        </is>
      </c>
      <c r="D6" s="28" t="n">
        <v>46174</v>
      </c>
      <c r="E6" s="28" t="n">
        <v>46127</v>
      </c>
    </row>
    <row r="7" ht="22.5" customHeight="1" s="38">
      <c r="A7" s="34" t="inlineStr">
        <is>
          <t>American Water</t>
        </is>
      </c>
      <c r="B7" s="27" t="n">
        <v>70</v>
      </c>
      <c r="C7" s="30" t="inlineStr">
        <is>
          <t>Monthly</t>
        </is>
      </c>
      <c r="D7" s="28" t="n">
        <v>46174</v>
      </c>
      <c r="E7" s="28" t="n">
        <v>45981</v>
      </c>
    </row>
    <row r="8" ht="22.5" customHeight="1" s="38">
      <c r="A8" s="34" t="inlineStr">
        <is>
          <t>T-Mobile</t>
        </is>
      </c>
      <c r="B8" s="27" t="n">
        <v>40</v>
      </c>
      <c r="C8" s="30" t="inlineStr">
        <is>
          <t>Monthly</t>
        </is>
      </c>
      <c r="D8" s="28" t="n">
        <v>46162</v>
      </c>
      <c r="E8" s="28" t="n">
        <v>46164</v>
      </c>
    </row>
    <row r="9" ht="22.5" customHeight="1" s="38">
      <c r="A9" s="34" t="inlineStr">
        <is>
          <t>Travelers</t>
        </is>
      </c>
      <c r="B9" s="27" t="n">
        <v>160.11</v>
      </c>
      <c r="C9" s="30" t="inlineStr">
        <is>
          <t>Monthly</t>
        </is>
      </c>
      <c r="D9" s="28" t="n">
        <v>46156</v>
      </c>
      <c r="E9" s="28" t="n"/>
    </row>
    <row r="10" ht="22.5" customHeight="1" s="38">
      <c r="A10" s="34" t="inlineStr">
        <is>
          <t>Minecraft Realms</t>
        </is>
      </c>
      <c r="B10" s="27" t="n">
        <v>7.99</v>
      </c>
      <c r="C10" s="30" t="inlineStr">
        <is>
          <t>Monthly</t>
        </is>
      </c>
      <c r="D10" s="28" t="n">
        <v>46157</v>
      </c>
      <c r="E10" s="28" t="n"/>
    </row>
    <row r="11" ht="22.5" customHeight="1" s="38">
      <c r="A11" s="34" t="inlineStr">
        <is>
          <t>Spotify</t>
        </is>
      </c>
      <c r="B11" s="27" t="n">
        <v>5.99</v>
      </c>
      <c r="C11" s="30" t="inlineStr">
        <is>
          <t>Monthly</t>
        </is>
      </c>
      <c r="D11" s="28" t="n">
        <v>46158</v>
      </c>
      <c r="E11" s="28" t="n"/>
    </row>
    <row r="12" ht="22.5" customHeight="1" s="38">
      <c r="A12" s="34" t="inlineStr">
        <is>
          <t>T-Fiber</t>
        </is>
      </c>
      <c r="B12" s="27" t="n">
        <v>69.98999999999999</v>
      </c>
      <c r="C12" s="30" t="inlineStr">
        <is>
          <t>Monthly</t>
        </is>
      </c>
      <c r="D12" s="28" t="n">
        <v>46166</v>
      </c>
      <c r="E12" s="28" t="n"/>
    </row>
    <row r="13" ht="22.5" customHeight="1" s="38">
      <c r="A13" s="34" t="inlineStr">
        <is>
          <t>iCloud Storage</t>
        </is>
      </c>
      <c r="B13" s="27" t="n">
        <v>9.99</v>
      </c>
      <c r="C13" s="30" t="inlineStr">
        <is>
          <t>Monthly</t>
        </is>
      </c>
      <c r="D13" s="28" t="n">
        <v>46168</v>
      </c>
      <c r="E13" s="28" t="n"/>
    </row>
    <row r="14" ht="22.5" customHeight="1" s="38">
      <c r="A14" s="34" t="inlineStr">
        <is>
          <t>iCloud</t>
        </is>
      </c>
      <c r="B14" s="27" t="n">
        <v>5.99</v>
      </c>
      <c r="C14" s="30" t="inlineStr">
        <is>
          <t>Monthly</t>
        </is>
      </c>
      <c r="D14" s="28" t="n">
        <v>46169</v>
      </c>
      <c r="E14" s="28" t="n"/>
    </row>
    <row r="15" ht="22.5" customHeight="1" s="38">
      <c r="A15" s="34" t="inlineStr">
        <is>
          <t>Cubesmart</t>
        </is>
      </c>
      <c r="B15" s="27" t="n">
        <v>65</v>
      </c>
      <c r="C15" s="30" t="inlineStr">
        <is>
          <t>Monthly</t>
        </is>
      </c>
      <c r="D15" s="28" t="n">
        <v>46170</v>
      </c>
      <c r="E15" s="28" t="n"/>
    </row>
    <row r="16" ht="22.5" customHeight="1" s="38">
      <c r="A16" s="34" t="inlineStr">
        <is>
          <t>UofI Med</t>
        </is>
      </c>
      <c r="B16" s="27" t="n">
        <v>60</v>
      </c>
      <c r="C16" s="30" t="inlineStr">
        <is>
          <t>Monthly</t>
        </is>
      </c>
      <c r="D16" s="28" t="n">
        <v>46170</v>
      </c>
      <c r="E16" s="28" t="n"/>
    </row>
    <row r="17" ht="22.5" customHeight="1" s="38">
      <c r="A17" s="34" t="inlineStr">
        <is>
          <t>Stormwater</t>
        </is>
      </c>
      <c r="B17" s="27" t="n">
        <v>39</v>
      </c>
      <c r="C17" s="30" t="inlineStr">
        <is>
          <t>Quarterly</t>
        </is>
      </c>
      <c r="D17" s="28" t="n">
        <v>46174</v>
      </c>
      <c r="E17" s="28" t="n"/>
    </row>
    <row r="18" ht="22.5" customHeight="1" s="38">
      <c r="A18" s="34" t="inlineStr">
        <is>
          <t>GPSD</t>
        </is>
      </c>
      <c r="B18" s="27" t="n">
        <v>80</v>
      </c>
      <c r="C18" s="30" t="inlineStr">
        <is>
          <t>Quarterly</t>
        </is>
      </c>
      <c r="D18" s="28" t="n"/>
      <c r="E18" s="28" t="n"/>
    </row>
    <row r="19" ht="15.75" customHeight="1" s="38">
      <c r="A19" s="30" t="inlineStr">
        <is>
          <t>MuseScore</t>
        </is>
      </c>
      <c r="B19" s="27" t="n">
        <v>29.99</v>
      </c>
      <c r="C19" s="30" t="inlineStr">
        <is>
          <t>Annually</t>
        </is>
      </c>
      <c r="D19" s="28" t="n">
        <v>46464</v>
      </c>
      <c r="E19" s="28" t="n"/>
    </row>
    <row r="20" ht="15.75" customHeight="1" s="38">
      <c r="A20" s="30" t="inlineStr">
        <is>
          <t>Amazon</t>
        </is>
      </c>
      <c r="B20" s="27" t="n">
        <v>69</v>
      </c>
      <c r="C20" s="30" t="inlineStr">
        <is>
          <t>Annually</t>
        </is>
      </c>
      <c r="D20" s="28" t="n">
        <v>46472</v>
      </c>
      <c r="E20" s="28" t="n"/>
    </row>
    <row r="21" ht="15.75" customHeight="1" s="38">
      <c r="A21" s="30" t="inlineStr">
        <is>
          <t>Paramount+ Walmart</t>
        </is>
      </c>
      <c r="B21" s="27" t="n">
        <v>0</v>
      </c>
      <c r="C21" s="30" t="inlineStr">
        <is>
          <t>Annually</t>
        </is>
      </c>
      <c r="D21" s="28" t="n">
        <v>46474</v>
      </c>
      <c r="E21" s="28" t="n"/>
    </row>
    <row r="22" ht="15.75" customHeight="1" s="38">
      <c r="A22" s="30" t="inlineStr">
        <is>
          <t>Walmart</t>
        </is>
      </c>
      <c r="B22" s="27" t="n">
        <v>78</v>
      </c>
      <c r="C22" s="30" t="inlineStr">
        <is>
          <t>Annually</t>
        </is>
      </c>
      <c r="D22" s="28" t="n">
        <v>46474</v>
      </c>
      <c r="E22" s="28" t="n"/>
    </row>
    <row r="23" ht="15.75" customHeight="1" s="38">
      <c r="A23" s="30" t="inlineStr">
        <is>
          <t>Google One (pcez31)</t>
        </is>
      </c>
      <c r="B23" s="27" t="n">
        <v>29.99</v>
      </c>
      <c r="C23" s="30" t="inlineStr">
        <is>
          <t>Annually</t>
        </is>
      </c>
      <c r="D23" s="28" t="n">
        <v>46508</v>
      </c>
      <c r="E23" s="28" t="n"/>
    </row>
    <row r="24" ht="15.75" customHeight="1" s="38">
      <c r="A24" s="30" t="inlineStr">
        <is>
          <t>Costco</t>
        </is>
      </c>
      <c r="B24" s="27" t="n">
        <v>130</v>
      </c>
      <c r="C24" s="30" t="inlineStr">
        <is>
          <t>Annually</t>
        </is>
      </c>
      <c r="D24" s="28" t="n">
        <v>46173</v>
      </c>
      <c r="E24" s="28" t="n"/>
    </row>
    <row r="25" ht="15.75" customHeight="1" s="38">
      <c r="A25" s="30" t="inlineStr">
        <is>
          <t>MTNA Membership</t>
        </is>
      </c>
      <c r="B25" s="27" t="n">
        <v>156</v>
      </c>
      <c r="C25" s="30" t="inlineStr">
        <is>
          <t>Annually</t>
        </is>
      </c>
      <c r="D25" s="28" t="n">
        <v>46203</v>
      </c>
      <c r="E25" s="28" t="n"/>
    </row>
    <row r="26" ht="15.75" customHeight="1" s="38">
      <c r="A26" s="30" t="inlineStr">
        <is>
          <t>Siteground Domain</t>
        </is>
      </c>
      <c r="B26" s="27" t="n">
        <v>19.99</v>
      </c>
      <c r="C26" s="30" t="inlineStr">
        <is>
          <t>Annually</t>
        </is>
      </c>
      <c r="D26" s="28" t="n">
        <v>46221</v>
      </c>
      <c r="E26" s="28" t="n"/>
    </row>
    <row r="27" ht="15.75" customHeight="1" s="38">
      <c r="A27" s="30" t="inlineStr">
        <is>
          <t>ClearVPN</t>
        </is>
      </c>
      <c r="B27" s="27" t="n">
        <v>44.99</v>
      </c>
      <c r="C27" s="30" t="inlineStr">
        <is>
          <t>Annually</t>
        </is>
      </c>
      <c r="D27" s="28" t="n">
        <v>46280</v>
      </c>
      <c r="E27" s="28" t="n"/>
    </row>
    <row r="28" ht="15.75" customHeight="1" s="38">
      <c r="A28" s="30" t="inlineStr">
        <is>
          <t>Strava</t>
        </is>
      </c>
      <c r="B28" s="27" t="n">
        <v>39.99</v>
      </c>
      <c r="C28" s="30" t="inlineStr">
        <is>
          <t>Annually</t>
        </is>
      </c>
      <c r="D28" s="28" t="n">
        <v>46287</v>
      </c>
      <c r="E28" s="28" t="n"/>
    </row>
    <row r="29" ht="15.75" customHeight="1" s="38">
      <c r="A29" s="30" t="inlineStr">
        <is>
          <t>Pokémon Home</t>
        </is>
      </c>
      <c r="B29" s="27" t="n">
        <v>15.99</v>
      </c>
      <c r="C29" s="30" t="inlineStr">
        <is>
          <t>Annually</t>
        </is>
      </c>
      <c r="D29" s="28" t="n">
        <v>46307</v>
      </c>
      <c r="E29" s="28" t="n"/>
    </row>
    <row r="30" ht="15.75" customHeight="1" s="38">
      <c r="A30" s="34" t="inlineStr">
        <is>
          <t>Sam's Club</t>
        </is>
      </c>
      <c r="B30" s="27" t="n">
        <v>130</v>
      </c>
      <c r="C30" s="30" t="inlineStr">
        <is>
          <t>Annually</t>
        </is>
      </c>
      <c r="D30" s="28" t="n">
        <v>46313</v>
      </c>
      <c r="E30" s="28" t="n"/>
    </row>
    <row r="31" ht="15.75" customHeight="1" s="38">
      <c r="A31" s="30" t="inlineStr">
        <is>
          <t>Canva Pro</t>
        </is>
      </c>
      <c r="B31" s="27" t="n">
        <v>120</v>
      </c>
      <c r="C31" s="30" t="inlineStr">
        <is>
          <t>Annually</t>
        </is>
      </c>
      <c r="D31" s="28" t="n">
        <v>46361</v>
      </c>
      <c r="E31" s="28" t="n"/>
    </row>
    <row r="32" ht="15.75" customHeight="1" s="38">
      <c r="A32" s="30" t="inlineStr">
        <is>
          <t>Nissan Versa</t>
        </is>
      </c>
      <c r="B32" s="27" t="n">
        <v>151</v>
      </c>
      <c r="C32" s="30" t="inlineStr">
        <is>
          <t>Annually</t>
        </is>
      </c>
      <c r="D32" s="28" t="n">
        <v>46387</v>
      </c>
      <c r="E32" s="28" t="n"/>
    </row>
    <row r="33" ht="15.75" customHeight="1" s="38">
      <c r="A33" s="30" t="inlineStr">
        <is>
          <t>Apple Arcade</t>
        </is>
      </c>
      <c r="B33" s="27" t="n">
        <v>50</v>
      </c>
      <c r="C33" s="30" t="inlineStr">
        <is>
          <t>Annually</t>
        </is>
      </c>
      <c r="D33" s="28" t="n">
        <v>46389</v>
      </c>
      <c r="E33" s="28" t="n"/>
    </row>
    <row r="34" ht="15.75" customHeight="1" s="38">
      <c r="A34" s="30" t="inlineStr">
        <is>
          <t>Nintendo Switch Online</t>
        </is>
      </c>
      <c r="B34" s="27" t="n">
        <v>79.98999999999999</v>
      </c>
      <c r="C34" s="30" t="inlineStr">
        <is>
          <t>Annually</t>
        </is>
      </c>
      <c r="D34" s="28" t="n">
        <v>46405</v>
      </c>
      <c r="E34" s="28" t="n"/>
    </row>
    <row r="35" ht="15.75" customHeight="1" s="38">
      <c r="A35" s="30" t="inlineStr">
        <is>
          <t>Claude Pro</t>
        </is>
      </c>
      <c r="B35" s="27" t="n">
        <v>200</v>
      </c>
      <c r="C35" s="30" t="inlineStr">
        <is>
          <t>Annually</t>
        </is>
      </c>
      <c r="D35" s="28" t="n">
        <v>46440</v>
      </c>
      <c r="E35" s="28" t="n"/>
    </row>
    <row r="36" ht="15.75" customHeight="1" s="38">
      <c r="A36" s="30" t="inlineStr">
        <is>
          <t>Wand</t>
        </is>
      </c>
      <c r="B36" s="27" t="n">
        <v>69.98999999999999</v>
      </c>
      <c r="C36" s="30" t="inlineStr">
        <is>
          <t>Annually</t>
        </is>
      </c>
      <c r="D36" s="28" t="n">
        <v>46449</v>
      </c>
      <c r="E36" s="28" t="n"/>
    </row>
    <row r="37" ht="15.75" customHeight="1" s="38">
      <c r="A37" s="30" t="inlineStr">
        <is>
          <t>Nissan Murano</t>
        </is>
      </c>
      <c r="B37" s="27" t="n">
        <v>151</v>
      </c>
      <c r="C37" s="30" t="inlineStr">
        <is>
          <t>Annually</t>
        </is>
      </c>
      <c r="D37" s="28" t="n">
        <v>46477</v>
      </c>
      <c r="E37" s="28" t="n"/>
    </row>
    <row r="38" ht="15.75" customHeight="1" s="38">
      <c r="A38" s="30" t="inlineStr">
        <is>
          <t>AARP</t>
        </is>
      </c>
      <c r="B38" s="27" t="n">
        <v>55</v>
      </c>
      <c r="C38" s="30" t="inlineStr">
        <is>
          <t>Annually</t>
        </is>
      </c>
      <c r="D38" s="28" t="n">
        <v>47542</v>
      </c>
      <c r="E38" s="28" t="n"/>
    </row>
    <row r="39" ht="15.75" customHeight="1" s="38">
      <c r="A39" s="30" t="inlineStr">
        <is>
          <t>Youtube ($25)</t>
        </is>
      </c>
      <c r="B39" s="27" t="n">
        <v>7.99</v>
      </c>
      <c r="C39" s="30" t="inlineStr">
        <is>
          <t>Prepaid</t>
        </is>
      </c>
      <c r="D39" s="28" t="n">
        <v>46189</v>
      </c>
      <c r="E39" s="28" t="n"/>
    </row>
    <row r="40" ht="15.75" customHeight="1" s="38">
      <c r="A40" s="30" t="inlineStr">
        <is>
          <t>Spotify (jgw)</t>
        </is>
      </c>
      <c r="B40" s="27" t="n">
        <v>30</v>
      </c>
      <c r="C40" s="30" t="inlineStr">
        <is>
          <t>Prepaid</t>
        </is>
      </c>
      <c r="D40" s="28" t="n">
        <v>46150</v>
      </c>
      <c r="E40" s="28" t="n"/>
    </row>
    <row r="41" ht="15.75" customHeight="1" s="38">
      <c r="A41" s="30" t="inlineStr">
        <is>
          <t>Markin Locker Rental</t>
        </is>
      </c>
      <c r="B41" s="27" t="n">
        <v>7</v>
      </c>
      <c r="C41" s="30" t="inlineStr">
        <is>
          <t>Prepaid</t>
        </is>
      </c>
      <c r="D41" s="28" t="n">
        <v>46158</v>
      </c>
      <c r="E41" s="28" t="n"/>
    </row>
    <row r="42" ht="15.75" customHeight="1" s="38">
      <c r="A42" s="30" t="inlineStr">
        <is>
          <t>Perplexity</t>
        </is>
      </c>
      <c r="B42" s="27" t="n">
        <v>200</v>
      </c>
      <c r="C42" s="30" t="inlineStr">
        <is>
          <t>Prepaid</t>
        </is>
      </c>
      <c r="D42" s="28" t="n">
        <v>46363</v>
      </c>
      <c r="E42" s="28" t="n"/>
    </row>
    <row r="43" ht="15.75" customHeight="1" s="38">
      <c r="A43" s="30" t="inlineStr">
        <is>
          <t>Google Workspace</t>
        </is>
      </c>
      <c r="B43" s="27" t="n">
        <v>168</v>
      </c>
      <c r="C43" s="30" t="inlineStr">
        <is>
          <t>Prepaid</t>
        </is>
      </c>
      <c r="D43" s="28" t="n">
        <v>46437</v>
      </c>
      <c r="E43" s="28" t="n"/>
    </row>
    <row r="44" ht="15.75" customHeight="1" s="38">
      <c r="A44" s="30" t="inlineStr">
        <is>
          <t>1Password ($5.30)</t>
        </is>
      </c>
      <c r="B44" s="27" t="n">
        <v>71.88</v>
      </c>
      <c r="C44" s="30" t="inlineStr">
        <is>
          <t>Prepaid</t>
        </is>
      </c>
      <c r="D44" s="28" t="n">
        <v>46438</v>
      </c>
      <c r="E44" s="28" t="n"/>
    </row>
    <row r="45" ht="15.75" customHeight="1" s="38">
      <c r="A45" s="30" t="inlineStr">
        <is>
          <t>Anna's Archive</t>
        </is>
      </c>
      <c r="B45" s="27" t="n">
        <v>77</v>
      </c>
      <c r="C45" s="30" t="inlineStr">
        <is>
          <t>Prepaid</t>
        </is>
      </c>
      <c r="D45" s="28" t="n">
        <v>46822</v>
      </c>
      <c r="E45" s="28" t="n"/>
    </row>
    <row r="46" ht="15.75" customHeight="1" s="38">
      <c r="A46" s="30" t="inlineStr">
        <is>
          <t>Student Loans: CMW (as of January 27, 2026)</t>
        </is>
      </c>
      <c r="B46" s="27" t="n">
        <v>64356.98</v>
      </c>
      <c r="C46" s="30" t="inlineStr">
        <is>
          <t>Debt</t>
        </is>
      </c>
      <c r="D46" s="28" t="n">
        <v>46553</v>
      </c>
      <c r="E46" s="28" t="n"/>
    </row>
    <row r="47" ht="15.75" customHeight="1" s="38">
      <c r="A47" s="30" t="inlineStr">
        <is>
          <t>Student Loans: JGW (as of January 27, 2026)</t>
        </is>
      </c>
      <c r="B47" s="27" t="n">
        <v>14331.21</v>
      </c>
      <c r="C47" s="30" t="inlineStr">
        <is>
          <t>Debt</t>
        </is>
      </c>
      <c r="D47" s="28" t="n">
        <v>47066</v>
      </c>
      <c r="E47" s="28" t="n"/>
    </row>
    <row r="48" ht="15.75" customHeight="1" s="38">
      <c r="A48" s="30" t="inlineStr">
        <is>
          <t>Apple Music</t>
        </is>
      </c>
      <c r="B48" s="27" t="n">
        <v>10.99</v>
      </c>
      <c r="C48" s="30" t="inlineStr">
        <is>
          <t>N/A - Monthly</t>
        </is>
      </c>
      <c r="D48" s="28" t="n">
        <v>45538</v>
      </c>
      <c r="E48" s="28" t="n"/>
    </row>
    <row r="49" ht="15.75" customHeight="1" s="38">
      <c r="A49" s="30" t="inlineStr">
        <is>
          <t>OpenAI (ChatGPT)</t>
        </is>
      </c>
      <c r="B49" s="27" t="n">
        <v>19.99</v>
      </c>
      <c r="C49" s="30" t="inlineStr">
        <is>
          <t>N/A - Monthly</t>
        </is>
      </c>
      <c r="D49" s="28" t="n">
        <v>45570</v>
      </c>
      <c r="E49" s="28" t="n"/>
    </row>
    <row r="50" ht="15.75" customHeight="1" s="38">
      <c r="A50" s="30" t="inlineStr">
        <is>
          <t>Mullvad</t>
        </is>
      </c>
      <c r="B50" s="27" t="n">
        <v>5.99</v>
      </c>
      <c r="C50" s="30" t="inlineStr">
        <is>
          <t>N/A - Monthly</t>
        </is>
      </c>
      <c r="D50" s="28" t="n">
        <v>45601</v>
      </c>
      <c r="E50" s="28" t="n"/>
    </row>
    <row r="51" ht="15.75" customHeight="1" s="38">
      <c r="A51" s="30" t="inlineStr">
        <is>
          <t>Bluey: Let’s Play!</t>
        </is>
      </c>
      <c r="B51" s="27" t="n">
        <v>6.99</v>
      </c>
      <c r="C51" s="30" t="inlineStr">
        <is>
          <t>N/A - Monthly</t>
        </is>
      </c>
      <c r="D51" s="28" t="n">
        <v>45644</v>
      </c>
      <c r="E51" s="28" t="n"/>
    </row>
    <row r="52" ht="15.75" customHeight="1" s="38">
      <c r="A52" s="30" t="inlineStr">
        <is>
          <t>Xfinity</t>
        </is>
      </c>
      <c r="B52" s="27" t="n">
        <v>350</v>
      </c>
      <c r="C52" s="30" t="inlineStr">
        <is>
          <t>N/A - Monthly</t>
        </is>
      </c>
      <c r="D52" s="28" t="n">
        <v>45712</v>
      </c>
      <c r="E52" s="28" t="n"/>
    </row>
    <row r="53" ht="22.5" customHeight="1" s="38">
      <c r="A53" s="34" t="inlineStr">
        <is>
          <t>Netflix</t>
        </is>
      </c>
      <c r="B53" s="27" t="n">
        <v>17.99</v>
      </c>
      <c r="C53" s="30" t="inlineStr">
        <is>
          <t>N/A - Monthly</t>
        </is>
      </c>
      <c r="D53" s="28" t="n">
        <v>46174</v>
      </c>
      <c r="E53" s="28" t="n">
        <v>46157</v>
      </c>
    </row>
    <row r="54" ht="15.75" customHeight="1" s="38">
      <c r="A54" s="30" t="inlineStr">
        <is>
          <t>Apple Fitness</t>
        </is>
      </c>
      <c r="B54" s="27" t="n">
        <v>9.99</v>
      </c>
      <c r="C54" s="30" t="inlineStr">
        <is>
          <t>N/A - Monthly</t>
        </is>
      </c>
      <c r="D54" s="28" t="n">
        <v>45836</v>
      </c>
      <c r="E54" s="28" t="n"/>
    </row>
    <row r="55" ht="15.75" customHeight="1" s="38">
      <c r="A55" s="30" t="inlineStr">
        <is>
          <t>Parallels</t>
        </is>
      </c>
      <c r="B55" s="27" t="n">
        <v>79.98999999999999</v>
      </c>
      <c r="C55" s="30" t="inlineStr">
        <is>
          <t>N/A - Monthly</t>
        </is>
      </c>
      <c r="D55" s="28" t="n">
        <v>45918</v>
      </c>
      <c r="E55" s="28" t="n"/>
    </row>
    <row r="56" ht="15.75" customHeight="1" s="38">
      <c r="A56" s="30" t="inlineStr">
        <is>
          <t>Crunchyroll</t>
        </is>
      </c>
      <c r="B56" s="27" t="n">
        <v>7.99</v>
      </c>
      <c r="C56" s="30" t="inlineStr">
        <is>
          <t>N/A - Monthly</t>
        </is>
      </c>
      <c r="D56" s="28" t="n">
        <v>45973</v>
      </c>
      <c r="E56" s="28" t="n"/>
    </row>
    <row r="57" ht="15.75" customHeight="1" s="38">
      <c r="A57" s="30" t="inlineStr">
        <is>
          <t>http://Raindrop.io Pro</t>
        </is>
      </c>
      <c r="B57" s="27" t="n">
        <v>3</v>
      </c>
      <c r="C57" s="30" t="inlineStr">
        <is>
          <t>N/A - Monthly</t>
        </is>
      </c>
      <c r="D57" s="28" t="n">
        <v>46076</v>
      </c>
      <c r="E57" s="28" t="n"/>
    </row>
    <row r="58" ht="15.75" customHeight="1" s="38">
      <c r="A58" s="30" t="inlineStr">
        <is>
          <t>Peacock</t>
        </is>
      </c>
      <c r="B58" s="27" t="n">
        <v>10.99</v>
      </c>
      <c r="C58" s="30" t="inlineStr">
        <is>
          <t>N/A - Monthly</t>
        </is>
      </c>
      <c r="D58" s="28" t="n">
        <v>46099</v>
      </c>
      <c r="E58" s="28" t="n"/>
    </row>
    <row r="59" ht="15.75" customHeight="1" s="38">
      <c r="A59" s="30" t="inlineStr">
        <is>
          <t>Obsidian</t>
        </is>
      </c>
      <c r="B59" s="27" t="n"/>
      <c r="C59" s="30" t="inlineStr">
        <is>
          <t>N/A - Monthly</t>
        </is>
      </c>
      <c r="D59" s="28" t="n"/>
      <c r="E59" s="28" t="n"/>
    </row>
    <row r="60" ht="22.5" customHeight="1" s="38">
      <c r="A60" s="30" t="inlineStr">
        <is>
          <t>Xbox Game Pass</t>
        </is>
      </c>
      <c r="B60" s="27" t="n">
        <v>16.49</v>
      </c>
      <c r="C60" s="30" t="inlineStr">
        <is>
          <t>N/A - Monthly</t>
        </is>
      </c>
      <c r="D60" s="28" t="n">
        <v>46105</v>
      </c>
      <c r="E60" s="28" t="n"/>
    </row>
    <row r="61" ht="15.75" customHeight="1" s="38">
      <c r="A61" s="30" t="inlineStr">
        <is>
          <t>HBO Max</t>
        </is>
      </c>
      <c r="B61" s="27" t="n">
        <v>9.99</v>
      </c>
      <c r="C61" s="30" t="inlineStr">
        <is>
          <t>N/A - Monthly</t>
        </is>
      </c>
      <c r="D61" s="28" t="n"/>
      <c r="E61" s="28" t="n"/>
    </row>
    <row r="62" ht="15.75" customHeight="1" s="38">
      <c r="A62" s="30" t="inlineStr">
        <is>
          <t>Pigment</t>
        </is>
      </c>
      <c r="B62" s="27" t="n">
        <v>59.99</v>
      </c>
      <c r="C62" s="30" t="inlineStr">
        <is>
          <t>N/A - Annually</t>
        </is>
      </c>
      <c r="D62" s="28" t="n">
        <v>45323</v>
      </c>
      <c r="E62" s="28" t="n"/>
    </row>
    <row r="63" ht="15.75" customHeight="1" s="38">
      <c r="A63" s="30" t="inlineStr">
        <is>
          <t>Playstation Plus</t>
        </is>
      </c>
      <c r="B63" s="27" t="n">
        <v>59.99</v>
      </c>
      <c r="C63" s="30" t="inlineStr">
        <is>
          <t>N/A - Annually</t>
        </is>
      </c>
      <c r="D63" s="28" t="n">
        <v>45400</v>
      </c>
      <c r="E63" s="28" t="n"/>
    </row>
    <row r="64" ht="15.75" customHeight="1" s="38">
      <c r="A64" s="30" t="inlineStr">
        <is>
          <t>PictureThis - Plant Identifier</t>
        </is>
      </c>
      <c r="B64" s="27" t="n">
        <v>39.99</v>
      </c>
      <c r="C64" s="30" t="inlineStr">
        <is>
          <t>N/A - Annually</t>
        </is>
      </c>
      <c r="D64" s="28" t="n">
        <v>45417</v>
      </c>
      <c r="E64" s="28" t="n"/>
    </row>
    <row r="65" ht="15.75" customHeight="1" s="38">
      <c r="A65" s="34" t="inlineStr">
        <is>
          <t>TopTeacher.com</t>
        </is>
      </c>
      <c r="B65" s="27" t="n">
        <v>92.69</v>
      </c>
      <c r="C65" s="30" t="inlineStr">
        <is>
          <t>N/A - Annually</t>
        </is>
      </c>
      <c r="D65" s="28" t="n">
        <v>45620</v>
      </c>
      <c r="E65" s="28" t="n"/>
    </row>
    <row r="66" ht="15.75" customHeight="1" s="38">
      <c r="A66" s="30" t="inlineStr">
        <is>
          <t>Feedly</t>
        </is>
      </c>
      <c r="B66" s="27" t="n">
        <v>99</v>
      </c>
      <c r="C66" s="30" t="inlineStr">
        <is>
          <t>N/A - Annually</t>
        </is>
      </c>
      <c r="D66" s="28" t="n">
        <v>45648</v>
      </c>
      <c r="E66" s="28" t="n"/>
    </row>
    <row r="67" ht="15.75" customHeight="1" s="38">
      <c r="A67" s="30" t="inlineStr">
        <is>
          <t>BrickIt</t>
        </is>
      </c>
      <c r="B67" s="27" t="n">
        <v>39.99</v>
      </c>
      <c r="C67" s="30" t="inlineStr">
        <is>
          <t>N/A - Annually</t>
        </is>
      </c>
      <c r="D67" s="28" t="n">
        <v>45664</v>
      </c>
      <c r="E67" s="28" t="n"/>
    </row>
    <row r="68" ht="15.75" customHeight="1" s="38">
      <c r="A68" s="30" t="inlineStr">
        <is>
          <t>Capti</t>
        </is>
      </c>
      <c r="B68" s="27" t="n">
        <v>29.99</v>
      </c>
      <c r="C68" s="30" t="inlineStr">
        <is>
          <t>N/A - Annually</t>
        </is>
      </c>
      <c r="D68" s="28" t="n">
        <v>45664</v>
      </c>
      <c r="E68" s="28" t="n"/>
    </row>
    <row r="69" ht="15.75" customHeight="1" s="38">
      <c r="A69" s="30" t="inlineStr">
        <is>
          <t>Natural Reader</t>
        </is>
      </c>
      <c r="B69" s="27" t="n">
        <v>110</v>
      </c>
      <c r="C69" s="30" t="inlineStr">
        <is>
          <t>N/A - Annually</t>
        </is>
      </c>
      <c r="D69" s="28" t="n">
        <v>45670</v>
      </c>
      <c r="E69" s="28" t="n"/>
    </row>
    <row r="70" ht="15.75" customHeight="1" s="38">
      <c r="A70" s="30" t="inlineStr">
        <is>
          <t>Cronometer</t>
        </is>
      </c>
      <c r="B70" s="27" t="n">
        <v>55</v>
      </c>
      <c r="C70" s="30" t="inlineStr">
        <is>
          <t>N/A - Annually</t>
        </is>
      </c>
      <c r="D70" s="28" t="n">
        <v>45670</v>
      </c>
      <c r="E70" s="28" t="n"/>
    </row>
    <row r="71" ht="15.75" customHeight="1" s="38">
      <c r="A71" s="30" t="inlineStr">
        <is>
          <t>Kiddopia</t>
        </is>
      </c>
      <c r="B71" s="27" t="n">
        <v>79.98999999999999</v>
      </c>
      <c r="C71" s="30" t="inlineStr">
        <is>
          <t>N/A - Annually</t>
        </is>
      </c>
      <c r="D71" s="28" t="n">
        <v>45693</v>
      </c>
      <c r="E71" s="28" t="n"/>
    </row>
    <row r="72" ht="15.75" customHeight="1" s="38">
      <c r="A72" s="30" t="inlineStr">
        <is>
          <t>Liquidtext</t>
        </is>
      </c>
      <c r="B72" s="27" t="n">
        <v>94.98999999999999</v>
      </c>
      <c r="C72" s="30" t="inlineStr">
        <is>
          <t>N/A - Annually</t>
        </is>
      </c>
      <c r="D72" s="28" t="n">
        <v>45736</v>
      </c>
      <c r="E72" s="28" t="n"/>
    </row>
    <row r="73" ht="15.75" customHeight="1" s="38">
      <c r="A73" s="30" t="inlineStr">
        <is>
          <t>Siteground Website</t>
        </is>
      </c>
      <c r="B73" s="27" t="n">
        <v>200</v>
      </c>
      <c r="C73" s="30" t="inlineStr">
        <is>
          <t>N/A - Annually</t>
        </is>
      </c>
      <c r="D73" s="28" t="n">
        <v>45856</v>
      </c>
      <c r="E73" s="28" t="n"/>
    </row>
    <row r="74" ht="15.75" customHeight="1" s="38">
      <c r="A74" s="34" t="inlineStr">
        <is>
          <t>Otter.ai</t>
        </is>
      </c>
      <c r="B74" s="27" t="n">
        <v>79.98999999999999</v>
      </c>
      <c r="C74" s="30" t="inlineStr">
        <is>
          <t>N/A - Annually</t>
        </is>
      </c>
      <c r="D74" s="28" t="n">
        <v>45894</v>
      </c>
      <c r="E74" s="28" t="n"/>
    </row>
    <row r="75" ht="15.75" customHeight="1" s="38">
      <c r="A75" s="30" t="inlineStr">
        <is>
          <t>ABCMouse</t>
        </is>
      </c>
      <c r="B75" s="27" t="n">
        <v>29.99</v>
      </c>
      <c r="C75" s="30" t="inlineStr">
        <is>
          <t>N/A - Annually</t>
        </is>
      </c>
      <c r="D75" s="28" t="n">
        <v>45899</v>
      </c>
      <c r="E75" s="28" t="n"/>
    </row>
    <row r="76" ht="15.75" customHeight="1" s="38">
      <c r="A76" s="30" t="inlineStr">
        <is>
          <t>Notability Pro</t>
        </is>
      </c>
      <c r="B76" s="27" t="n">
        <v>14.99</v>
      </c>
      <c r="C76" s="30" t="inlineStr">
        <is>
          <t>N/A - Annually</t>
        </is>
      </c>
      <c r="D76" s="28" t="n">
        <v>45899</v>
      </c>
      <c r="E76" s="28" t="n"/>
    </row>
    <row r="77" ht="15.75" customHeight="1" s="38">
      <c r="A77" s="30" t="inlineStr">
        <is>
          <t>Pro Tools</t>
        </is>
      </c>
      <c r="B77" s="27" t="n">
        <v>99.98999999999999</v>
      </c>
      <c r="C77" s="30" t="inlineStr">
        <is>
          <t>N/A - Annually</t>
        </is>
      </c>
      <c r="D77" s="28" t="n">
        <v>45899</v>
      </c>
      <c r="E77" s="28" t="n"/>
    </row>
    <row r="78" ht="15.75" customHeight="1" s="38">
      <c r="A78" s="30" t="inlineStr">
        <is>
          <t>Setapp</t>
        </is>
      </c>
      <c r="B78" s="27" t="n">
        <v>161.88</v>
      </c>
      <c r="C78" s="30" t="inlineStr">
        <is>
          <t>N/A - Annually</t>
        </is>
      </c>
      <c r="D78" s="28" t="n">
        <v>45930</v>
      </c>
      <c r="E78" s="28" t="n"/>
    </row>
    <row r="79" ht="15.75" customHeight="1" s="38">
      <c r="A79" s="30" t="inlineStr">
        <is>
          <t>Goodnotes 6</t>
        </is>
      </c>
      <c r="B79" s="27" t="n">
        <v>9.99</v>
      </c>
      <c r="C79" s="30" t="inlineStr">
        <is>
          <t>N/A - Annually</t>
        </is>
      </c>
      <c r="D79" s="28" t="n">
        <v>45952</v>
      </c>
      <c r="E79" s="28" t="n"/>
    </row>
    <row r="80" ht="15.75" customHeight="1" s="38">
      <c r="A80" s="30" t="inlineStr">
        <is>
          <t>Speechify</t>
        </is>
      </c>
      <c r="B80" s="27" t="n">
        <v>79.98999999999999</v>
      </c>
      <c r="C80" s="30" t="inlineStr">
        <is>
          <t>N/A - Annually</t>
        </is>
      </c>
      <c r="D80" s="28" t="n">
        <v>46033</v>
      </c>
      <c r="E80" s="28" t="n"/>
    </row>
    <row r="81" ht="15.75" customHeight="1" s="38">
      <c r="A81" s="30" t="inlineStr">
        <is>
          <t>Minecraft Education</t>
        </is>
      </c>
      <c r="B81" s="27" t="n">
        <v>12</v>
      </c>
      <c r="C81" s="30" t="inlineStr">
        <is>
          <t>N/A - Annually</t>
        </is>
      </c>
      <c r="D81" s="28" t="n">
        <v>46036</v>
      </c>
      <c r="E81" s="28" t="n"/>
    </row>
    <row r="82" ht="15.75" customHeight="1" s="38">
      <c r="A82" s="30" t="inlineStr">
        <is>
          <t>Disney+</t>
        </is>
      </c>
      <c r="B82" s="27" t="n">
        <v>159</v>
      </c>
      <c r="C82" s="30" t="inlineStr">
        <is>
          <t>N/A - Annually</t>
        </is>
      </c>
      <c r="D82" s="28" t="n">
        <v>46060</v>
      </c>
      <c r="E82" s="28" t="n"/>
    </row>
    <row r="83" ht="15.75" customHeight="1" s="38">
      <c r="A83" s="30" t="inlineStr">
        <is>
          <t>FitBod</t>
        </is>
      </c>
      <c r="B83" s="27" t="n">
        <v>79.98999999999999</v>
      </c>
      <c r="C83" s="30" t="inlineStr">
        <is>
          <t>N/A - Annually</t>
        </is>
      </c>
      <c r="D83" s="28" t="n">
        <v>46080</v>
      </c>
      <c r="E83" s="28" t="n"/>
    </row>
    <row r="84" ht="15.75" customHeight="1" s="38">
      <c r="A84" s="30" t="inlineStr">
        <is>
          <t>Ford Escape</t>
        </is>
      </c>
      <c r="B84" s="27" t="n">
        <v>151</v>
      </c>
      <c r="C84" s="30" t="inlineStr">
        <is>
          <t>N/A - Annually</t>
        </is>
      </c>
      <c r="D84" s="28" t="n">
        <v>46083</v>
      </c>
      <c r="E84" s="28" t="n"/>
    </row>
    <row r="85" ht="15.75" customHeight="1" s="38">
      <c r="A85" s="30" t="inlineStr">
        <is>
          <t>Grove Collaborative</t>
        </is>
      </c>
      <c r="B85" s="27" t="n">
        <v>19.99</v>
      </c>
      <c r="C85" s="30" t="inlineStr">
        <is>
          <t>N/A - Annually</t>
        </is>
      </c>
      <c r="D85" s="28" t="n">
        <v>46101</v>
      </c>
      <c r="E85" s="28" t="n"/>
    </row>
    <row r="86" ht="15.75" customHeight="1" s="38">
      <c r="A86" s="30" t="inlineStr">
        <is>
          <t>Mobilism</t>
        </is>
      </c>
      <c r="B86" s="27" t="n">
        <v>25</v>
      </c>
      <c r="C86" s="30" t="inlineStr">
        <is>
          <t>Prepaid</t>
        </is>
      </c>
      <c r="D86" s="28" t="n">
        <v>46455</v>
      </c>
      <c r="E86" s="28" t="n"/>
    </row>
    <row r="87" ht="15.75" customHeight="1" s="38">
      <c r="C87" s="10" t="n"/>
    </row>
    <row r="88" ht="15.75" customHeight="1" s="38">
      <c r="C88" s="10" t="n"/>
    </row>
    <row r="89" ht="15.75" customHeight="1" s="38">
      <c r="C89" s="10" t="n"/>
    </row>
    <row r="90" ht="15.75" customHeight="1" s="38">
      <c r="C90" s="10" t="n"/>
    </row>
    <row r="91" ht="15.75" customHeight="1" s="38">
      <c r="C91" s="10" t="n"/>
    </row>
    <row r="92" ht="15.75" customHeight="1" s="38">
      <c r="C92" s="10" t="n"/>
    </row>
    <row r="93" ht="15.75" customHeight="1" s="38">
      <c r="C93" s="10" t="n"/>
    </row>
    <row r="94" ht="15.75" customHeight="1" s="38">
      <c r="C94" s="10" t="n"/>
    </row>
    <row r="95" ht="15.75" customHeight="1" s="38">
      <c r="C95" s="10" t="n"/>
    </row>
    <row r="96" ht="15.75" customHeight="1" s="38">
      <c r="C96" s="10" t="n"/>
    </row>
    <row r="97" ht="15.75" customHeight="1" s="38">
      <c r="C97" s="10" t="n"/>
    </row>
    <row r="98" ht="15.75" customHeight="1" s="38">
      <c r="C98" s="10" t="n"/>
    </row>
    <row r="99" ht="15.75" customHeight="1" s="38">
      <c r="C99" s="10" t="n"/>
    </row>
    <row r="100" ht="15.75" customHeight="1" s="38">
      <c r="C100" s="10" t="n"/>
    </row>
    <row r="101" ht="15.75" customHeight="1" s="38">
      <c r="C101" s="10" t="n"/>
    </row>
    <row r="102" ht="15.75" customHeight="1" s="38">
      <c r="C102" s="10" t="n"/>
    </row>
    <row r="103" ht="15.75" customHeight="1" s="38">
      <c r="C103" s="10" t="n"/>
    </row>
    <row r="104" ht="15.75" customHeight="1" s="38">
      <c r="C104" s="10" t="n"/>
    </row>
    <row r="105" ht="15.75" customHeight="1" s="38">
      <c r="C105" s="10" t="n"/>
    </row>
    <row r="106" ht="15.75" customHeight="1" s="38">
      <c r="C106" s="10" t="n"/>
    </row>
    <row r="107" ht="15.75" customHeight="1" s="38">
      <c r="C107" s="10" t="n"/>
    </row>
    <row r="108" ht="15.75" customHeight="1" s="38">
      <c r="C108" s="10" t="n"/>
    </row>
    <row r="109" ht="15.75" customHeight="1" s="38">
      <c r="C109" s="10" t="n"/>
    </row>
    <row r="110" ht="15.75" customHeight="1" s="38">
      <c r="C110" s="10" t="n"/>
    </row>
    <row r="111" ht="15.75" customHeight="1" s="38">
      <c r="C111" s="10" t="n"/>
    </row>
    <row r="112" ht="15.75" customHeight="1" s="38">
      <c r="C112" s="10" t="n"/>
    </row>
    <row r="113" ht="15.75" customHeight="1" s="38">
      <c r="C113" s="10" t="n"/>
    </row>
    <row r="114" ht="15.75" customHeight="1" s="38">
      <c r="C114" s="10" t="n"/>
    </row>
    <row r="115" ht="15.75" customHeight="1" s="38">
      <c r="C115" s="10" t="n"/>
    </row>
    <row r="116" ht="15.75" customHeight="1" s="38">
      <c r="C116" s="10" t="n"/>
    </row>
    <row r="117" ht="15.75" customHeight="1" s="38">
      <c r="C117" s="10" t="n"/>
    </row>
    <row r="118" ht="15.75" customHeight="1" s="38">
      <c r="C118" s="10" t="n"/>
    </row>
    <row r="119" ht="15.75" customHeight="1" s="38">
      <c r="C119" s="10" t="n"/>
    </row>
    <row r="120" ht="15.75" customHeight="1" s="38">
      <c r="C120" s="10" t="n"/>
    </row>
    <row r="121" ht="15.75" customHeight="1" s="38">
      <c r="C121" s="10" t="n"/>
    </row>
    <row r="122" ht="15.75" customHeight="1" s="38">
      <c r="C122" s="10" t="n"/>
    </row>
    <row r="123" ht="15.75" customHeight="1" s="38">
      <c r="C123" s="10" t="n"/>
    </row>
    <row r="124" ht="15.75" customHeight="1" s="38">
      <c r="C124" s="10" t="n"/>
    </row>
    <row r="125" ht="15.75" customHeight="1" s="38">
      <c r="C125" s="10" t="n"/>
    </row>
    <row r="126" ht="15.75" customHeight="1" s="38">
      <c r="C126" s="10" t="n"/>
    </row>
    <row r="127" ht="15.75" customHeight="1" s="38">
      <c r="C127" s="10" t="n"/>
    </row>
    <row r="128" ht="15.75" customHeight="1" s="38">
      <c r="C128" s="10" t="n"/>
    </row>
    <row r="129" ht="15.75" customHeight="1" s="38">
      <c r="C129" s="10" t="n"/>
    </row>
    <row r="130" ht="15.75" customHeight="1" s="38">
      <c r="C130" s="10" t="n"/>
    </row>
    <row r="131" ht="15.75" customHeight="1" s="38">
      <c r="C131" s="10" t="n"/>
    </row>
    <row r="132" ht="15.75" customHeight="1" s="38">
      <c r="C132" s="10" t="n"/>
    </row>
    <row r="133" ht="15.75" customHeight="1" s="38">
      <c r="C133" s="10" t="n"/>
    </row>
    <row r="134" ht="15.75" customHeight="1" s="38">
      <c r="C134" s="10" t="n"/>
    </row>
    <row r="135" ht="15.75" customHeight="1" s="38">
      <c r="C135" s="10" t="n"/>
    </row>
    <row r="136" ht="15.75" customHeight="1" s="38">
      <c r="C136" s="10" t="n"/>
    </row>
    <row r="137" ht="15.75" customHeight="1" s="38">
      <c r="C137" s="10" t="n"/>
    </row>
    <row r="138" ht="15.75" customHeight="1" s="38">
      <c r="C138" s="10" t="n"/>
    </row>
    <row r="139" ht="15.75" customHeight="1" s="38">
      <c r="C139" s="10" t="n"/>
    </row>
    <row r="140" ht="15.75" customHeight="1" s="38">
      <c r="C140" s="10" t="n"/>
    </row>
    <row r="141" ht="15.75" customHeight="1" s="38">
      <c r="C141" s="10" t="n"/>
    </row>
    <row r="142" ht="15.75" customHeight="1" s="38">
      <c r="C142" s="10" t="n"/>
    </row>
    <row r="143" ht="15.75" customHeight="1" s="38">
      <c r="C143" s="10" t="n"/>
    </row>
    <row r="144" ht="15.75" customHeight="1" s="38">
      <c r="C144" s="10" t="n"/>
    </row>
    <row r="145" ht="15.75" customHeight="1" s="38">
      <c r="C145" s="10" t="n"/>
    </row>
    <row r="146" ht="15.75" customHeight="1" s="38">
      <c r="C146" s="10" t="n"/>
    </row>
    <row r="147" ht="15.75" customHeight="1" s="38">
      <c r="C147" s="10" t="n"/>
    </row>
    <row r="148" ht="15.75" customHeight="1" s="38">
      <c r="C148" s="10" t="n"/>
    </row>
    <row r="149" ht="15.75" customHeight="1" s="38">
      <c r="C149" s="10" t="n"/>
    </row>
    <row r="150" ht="15.75" customHeight="1" s="38">
      <c r="C150" s="10" t="n"/>
    </row>
    <row r="151" ht="15.75" customHeight="1" s="38">
      <c r="C151" s="10" t="n"/>
    </row>
    <row r="152" ht="15.75" customHeight="1" s="38">
      <c r="C152" s="10" t="n"/>
    </row>
    <row r="153" ht="15.75" customHeight="1" s="38">
      <c r="C153" s="10" t="n"/>
    </row>
    <row r="154" ht="15.75" customHeight="1" s="38">
      <c r="C154" s="10" t="n"/>
    </row>
    <row r="155" ht="15.75" customHeight="1" s="38">
      <c r="C155" s="10" t="n"/>
    </row>
    <row r="156" ht="15.75" customHeight="1" s="38">
      <c r="C156" s="10" t="n"/>
    </row>
    <row r="157" ht="15.75" customHeight="1" s="38">
      <c r="C157" s="10" t="n"/>
    </row>
    <row r="158" ht="15.75" customHeight="1" s="38">
      <c r="C158" s="10" t="n"/>
    </row>
    <row r="159" ht="15.75" customHeight="1" s="38">
      <c r="C159" s="10" t="n"/>
    </row>
    <row r="160" ht="15.75" customHeight="1" s="38">
      <c r="C160" s="10" t="n"/>
    </row>
    <row r="161" ht="15.75" customHeight="1" s="38">
      <c r="C161" s="10" t="n"/>
    </row>
    <row r="162" ht="15.75" customHeight="1" s="38">
      <c r="C162" s="10" t="n"/>
    </row>
    <row r="163" ht="15.75" customHeight="1" s="38">
      <c r="C163" s="10" t="n"/>
    </row>
    <row r="164" ht="15.75" customHeight="1" s="38">
      <c r="C164" s="10" t="n"/>
    </row>
    <row r="165" ht="15.75" customHeight="1" s="38">
      <c r="C165" s="10" t="n"/>
    </row>
    <row r="166" ht="15.75" customHeight="1" s="38">
      <c r="C166" s="10" t="n"/>
    </row>
    <row r="167" ht="15.75" customHeight="1" s="38">
      <c r="C167" s="10" t="n"/>
    </row>
    <row r="168" ht="15.75" customHeight="1" s="38">
      <c r="C168" s="10" t="n"/>
    </row>
    <row r="169" ht="15.75" customHeight="1" s="38">
      <c r="C169" s="10" t="n"/>
    </row>
    <row r="170" ht="15.75" customHeight="1" s="38">
      <c r="C170" s="10" t="n"/>
    </row>
    <row r="171" ht="15.75" customHeight="1" s="38">
      <c r="C171" s="10" t="n"/>
    </row>
    <row r="172" ht="15.75" customHeight="1" s="38">
      <c r="C172" s="10" t="n"/>
    </row>
    <row r="173" ht="15.75" customHeight="1" s="38">
      <c r="C173" s="10" t="n"/>
    </row>
    <row r="174" ht="15.75" customHeight="1" s="38">
      <c r="C174" s="10" t="n"/>
    </row>
    <row r="175" ht="15.75" customHeight="1" s="38">
      <c r="C175" s="10" t="n"/>
    </row>
    <row r="176" ht="15.75" customHeight="1" s="38">
      <c r="C176" s="10" t="n"/>
    </row>
    <row r="177" ht="15.75" customHeight="1" s="38">
      <c r="C177" s="10" t="n"/>
    </row>
    <row r="178" ht="15.75" customHeight="1" s="38">
      <c r="C178" s="10" t="n"/>
    </row>
    <row r="179" ht="15.75" customHeight="1" s="38">
      <c r="C179" s="10" t="n"/>
    </row>
    <row r="180" ht="15.75" customHeight="1" s="38">
      <c r="C180" s="10" t="n"/>
    </row>
    <row r="181" ht="15.75" customHeight="1" s="38">
      <c r="C181" s="10" t="n"/>
    </row>
    <row r="182" ht="15.75" customHeight="1" s="38">
      <c r="C182" s="10" t="n"/>
    </row>
    <row r="183" ht="15.75" customHeight="1" s="38">
      <c r="C183" s="10" t="n"/>
    </row>
    <row r="184" ht="15.75" customHeight="1" s="38">
      <c r="C184" s="10" t="n"/>
    </row>
    <row r="185" ht="15.75" customHeight="1" s="38">
      <c r="C185" s="10" t="n"/>
    </row>
    <row r="186" ht="15.75" customHeight="1" s="38">
      <c r="C186" s="10" t="n"/>
    </row>
    <row r="187" ht="15.75" customHeight="1" s="38">
      <c r="C187" s="10" t="n"/>
    </row>
    <row r="188" ht="15.75" customHeight="1" s="38">
      <c r="C188" s="10" t="n"/>
    </row>
    <row r="189" ht="15.75" customHeight="1" s="38">
      <c r="C189" s="10" t="n"/>
    </row>
    <row r="190" ht="15.75" customHeight="1" s="38">
      <c r="C190" s="10" t="n"/>
    </row>
    <row r="191" ht="15.75" customHeight="1" s="38">
      <c r="C191" s="10" t="n"/>
    </row>
    <row r="192" ht="15.75" customHeight="1" s="38">
      <c r="C192" s="10" t="n"/>
    </row>
    <row r="193" ht="15.75" customHeight="1" s="38">
      <c r="C193" s="10" t="n"/>
    </row>
    <row r="194" ht="15.75" customHeight="1" s="38">
      <c r="C194" s="10" t="n"/>
    </row>
    <row r="195" ht="15.75" customHeight="1" s="38">
      <c r="C195" s="10" t="n"/>
    </row>
    <row r="196" ht="15.75" customHeight="1" s="38">
      <c r="C196" s="10" t="n"/>
    </row>
    <row r="197" ht="15.75" customHeight="1" s="38">
      <c r="C197" s="10" t="n"/>
    </row>
    <row r="198" ht="15.75" customHeight="1" s="38">
      <c r="C198" s="10" t="n"/>
    </row>
    <row r="199" ht="15.75" customHeight="1" s="38">
      <c r="C199" s="10" t="n"/>
    </row>
    <row r="200" ht="15.75" customHeight="1" s="38">
      <c r="C200" s="10" t="n"/>
    </row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4">
    <mergeCell ref="G2:H2"/>
    <mergeCell ref="G1:H1"/>
    <mergeCell ref="I2:J2"/>
    <mergeCell ref="I1:J1"/>
  </mergeCells>
  <dataValidations count="4">
    <dataValidation sqref="C87:C200" showDropDown="0" showInputMessage="0" showErrorMessage="0" allowBlank="1" type="list">
      <formula1>"Bi-weekly,Monthly,Quarterly,Annually,Debt,Prepaid,N/A - Monthly,N/A - Annually"</formula1>
    </dataValidation>
    <dataValidation sqref="C2:C86" showDropDown="0" showInputMessage="0" showErrorMessage="0" allowBlank="1" type="list">
      <formula1>"Bi-weekly,Monthly,Quarterly,Annually,Debt,Prepaid,N/A - Monthly,N/A - Annually"</formula1>
    </dataValidation>
    <dataValidation sqref="D2:E86" showDropDown="1" showInputMessage="0" showErrorMessage="0" allowBlank="1" type="custom">
      <formula1>OR(NOT(ISERROR(DATEVALUE(D2))), AND(ISNUMBER(D2), LEFT(CELL("format", D2))="D"))</formula1>
    </dataValidation>
    <dataValidation sqref="B2:B86" showDropDown="1" showInputMessage="0" showErrorMessage="0" allowBlank="1" type="custom">
      <formula1>AND(ISNUMBER(B2),(NOT(OR(NOT(ISERROR(DATEVALUE(B2))), AND(ISNUMBER(B2), LEFT(CELL("format", B2))="D")))))</formula1>
    </dataValidation>
  </dataValidations>
  <hyperlinks>
    <hyperlink xmlns:r="http://schemas.openxmlformats.org/officeDocument/2006/relationships" ref="A2" location="login-modal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location="/enhancedportal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30" r:id="rId16"/>
    <hyperlink xmlns:r="http://schemas.openxmlformats.org/officeDocument/2006/relationships" ref="A53" r:id="rId17"/>
    <hyperlink xmlns:r="http://schemas.openxmlformats.org/officeDocument/2006/relationships" ref="A65" r:id="rId18"/>
    <hyperlink xmlns:r="http://schemas.openxmlformats.org/officeDocument/2006/relationships" ref="A74" r:id="rId19"/>
  </hyperlinks>
  <pageMargins left="0.75" right="0.75" top="1" bottom="1" header="0" footer="0"/>
  <pageSetup orientation="landscape"/>
  <tableParts count="1">
    <tablePart xmlns:r="http://schemas.openxmlformats.org/officeDocument/2006/relationships" r:id="rId2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ColWidth="14.43" defaultRowHeight="15" customHeight="1"/>
  <cols>
    <col width="30" customWidth="1" style="38" min="1" max="1"/>
    <col width="15" customWidth="1" style="38" min="2" max="2"/>
    <col width="14.71" customWidth="1" style="38" min="3" max="3"/>
    <col width="17.43" customWidth="1" style="38" min="4" max="4"/>
    <col width="8.710000000000001" customWidth="1" style="38" min="5" max="26"/>
  </cols>
  <sheetData>
    <row r="1">
      <c r="A1" s="39" t="inlineStr">
        <is>
          <t>Credit Card - CMW (3619)</t>
        </is>
      </c>
    </row>
    <row r="2">
      <c r="A2" s="20" t="inlineStr">
        <is>
          <t>Balance Owed</t>
        </is>
      </c>
      <c r="B2" s="20" t="inlineStr">
        <is>
          <t>Charges</t>
        </is>
      </c>
      <c r="C2" s="20" t="inlineStr">
        <is>
          <t>Payments</t>
        </is>
      </c>
      <c r="D2" s="20" t="inlineStr">
        <is>
          <t>Projected</t>
        </is>
      </c>
    </row>
    <row r="3">
      <c r="A3" s="23">
        <f>IFERROR(-SUMIFS(Accounts!B2:B105,Accounts!A2:A105,"*CMW*",Accounts!C2:C105,"Liability"),0)</f>
        <v/>
      </c>
      <c r="B3" s="23">
        <f>SUMPRODUCT((D6:D200=TRUE)*(B6:B200&lt;0)*B6:B200)</f>
        <v/>
      </c>
      <c r="C3" s="22">
        <f>SUMPRODUCT((D6:D200=TRUE)*(B6:B200&gt;0)*B6:B200)</f>
        <v/>
      </c>
      <c r="D3" s="24">
        <f>A3+B3+C3</f>
        <v/>
      </c>
    </row>
    <row r="5" ht="22.5" customHeight="1" s="38">
      <c r="A5" s="37" t="inlineStr">
        <is>
          <t>Description</t>
        </is>
      </c>
      <c r="B5" s="37" t="inlineStr">
        <is>
          <t>Amount</t>
        </is>
      </c>
      <c r="C5" s="37" t="inlineStr">
        <is>
          <t>Due Date</t>
        </is>
      </c>
      <c r="D5" s="37" t="inlineStr">
        <is>
          <t>In Calc?</t>
        </is>
      </c>
    </row>
    <row r="6" ht="22.5" customHeight="1" s="38">
      <c r="A6" s="30" t="inlineStr">
        <is>
          <t>Claude</t>
        </is>
      </c>
      <c r="B6" s="30" t="n">
        <v>20</v>
      </c>
      <c r="D6" s="30" t="n"/>
    </row>
    <row r="7" ht="22.5" customHeight="1" s="38">
      <c r="D7" s="30" t="n"/>
    </row>
    <row r="8" ht="22.5" customHeight="1" s="38">
      <c r="D8" s="30" t="n"/>
    </row>
    <row r="9" ht="22.5" customHeight="1" s="38">
      <c r="D9" s="30" t="n"/>
    </row>
    <row r="10" ht="22.5" customHeight="1" s="38">
      <c r="D10" s="30" t="n"/>
    </row>
    <row r="11" ht="22.5" customHeight="1" s="38">
      <c r="D11" s="30" t="n"/>
    </row>
    <row r="12" ht="22.5" customHeight="1" s="38">
      <c r="D12" s="30" t="n"/>
    </row>
    <row r="13" ht="22.5" customHeight="1" s="38">
      <c r="D13" s="30" t="n"/>
    </row>
    <row r="14" ht="22.5" customHeight="1" s="38">
      <c r="D14" s="30" t="n"/>
    </row>
    <row r="15" ht="22.5" customHeight="1" s="38">
      <c r="D15" s="30" t="n"/>
    </row>
    <row r="16" ht="22.5" customHeight="1" s="38">
      <c r="D16" s="30" t="n"/>
    </row>
    <row r="17" ht="22.5" customHeight="1" s="38">
      <c r="D17" s="30" t="n"/>
    </row>
    <row r="18" ht="22.5" customHeight="1" s="38">
      <c r="D18" s="30" t="n"/>
    </row>
    <row r="19" ht="22.5" customHeight="1" s="38">
      <c r="D19" s="30" t="n"/>
    </row>
    <row r="20" ht="22.5" customHeight="1" s="38">
      <c r="D20" s="30" t="n"/>
    </row>
    <row r="21" ht="15.75" customHeight="1" s="38">
      <c r="D21" s="30" t="n"/>
    </row>
    <row r="22" ht="15.75" customHeight="1" s="38">
      <c r="D22" s="30" t="n"/>
    </row>
    <row r="23" ht="15.75" customHeight="1" s="38">
      <c r="D23" s="30" t="n"/>
    </row>
    <row r="24" ht="15.75" customHeight="1" s="38">
      <c r="D24" s="30" t="n"/>
    </row>
    <row r="25" ht="15.75" customHeight="1" s="38">
      <c r="D25" s="30" t="n"/>
    </row>
    <row r="26" ht="15.75" customHeight="1" s="38">
      <c r="D26" s="30" t="n"/>
    </row>
    <row r="27" ht="15.75" customHeight="1" s="38">
      <c r="D27" s="30" t="n"/>
    </row>
    <row r="28" ht="15.75" customHeight="1" s="38">
      <c r="D28" s="30" t="n"/>
    </row>
    <row r="29" ht="15.75" customHeight="1" s="38">
      <c r="D29" s="30" t="n"/>
    </row>
    <row r="30" ht="15.75" customHeight="1" s="38">
      <c r="D30" s="30" t="n"/>
    </row>
    <row r="31" ht="15.75" customHeight="1" s="38">
      <c r="D31" s="30" t="n"/>
    </row>
    <row r="32" ht="15.75" customHeight="1" s="38">
      <c r="D32" s="30" t="n"/>
    </row>
    <row r="33" ht="15.75" customHeight="1" s="38">
      <c r="D33" s="30" t="n"/>
    </row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1">
    <mergeCell ref="A1:D1"/>
  </mergeCells>
  <dataValidations count="1">
    <dataValidation sqref="D6:D33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4" customWidth="1" style="38" min="2" max="2"/>
    <col width="30" customWidth="1" style="38" min="3" max="3"/>
    <col width="15" customWidth="1" style="38" min="4" max="4"/>
    <col width="8.710000000000001" customWidth="1" style="38" min="5" max="26"/>
  </cols>
  <sheetData>
    <row r="1">
      <c r="A1" s="39" t="inlineStr">
        <is>
          <t>Credit Card - JGW (9299)</t>
        </is>
      </c>
    </row>
    <row r="2">
      <c r="A2" s="20" t="inlineStr">
        <is>
          <t>Balance Owed</t>
        </is>
      </c>
      <c r="B2" s="20" t="inlineStr">
        <is>
          <t>Charges</t>
        </is>
      </c>
      <c r="C2" s="20" t="inlineStr">
        <is>
          <t>Payments</t>
        </is>
      </c>
      <c r="D2" s="20" t="inlineStr">
        <is>
          <t>Projected</t>
        </is>
      </c>
    </row>
    <row r="3">
      <c r="A3" s="23">
        <f>IFERROR(-SUMIFS(Accounts!B2:B105,Accounts!A2:A105,"*JGW*",Accounts!C2:C105,"Liability"),0)</f>
        <v/>
      </c>
      <c r="B3" s="23">
        <f>SUMPRODUCT((D6:D200=TRUE)*(B6:B200&lt;0)*B6:B200)</f>
        <v/>
      </c>
      <c r="C3" s="22">
        <f>SUMPRODUCT((D6:D200=TRUE)*(B6:B200&gt;0)*B6:B200)</f>
        <v/>
      </c>
      <c r="D3" s="24">
        <f>A3+B3+C3</f>
        <v/>
      </c>
    </row>
    <row r="5" ht="22.5" customHeight="1" s="38">
      <c r="A5" s="37" t="inlineStr">
        <is>
          <t>Description</t>
        </is>
      </c>
      <c r="B5" s="37" t="inlineStr">
        <is>
          <t>Amount</t>
        </is>
      </c>
      <c r="C5" s="37" t="inlineStr">
        <is>
          <t>Due Date</t>
        </is>
      </c>
      <c r="D5" s="37" t="inlineStr">
        <is>
          <t>In Calc?</t>
        </is>
      </c>
    </row>
    <row r="6" ht="22.5" customHeight="1" s="38">
      <c r="D6" s="30" t="n"/>
    </row>
    <row r="7" ht="22.5" customHeight="1" s="38">
      <c r="D7" s="30" t="n"/>
    </row>
    <row r="8" ht="22.5" customHeight="1" s="38">
      <c r="D8" s="30" t="n"/>
    </row>
    <row r="9" ht="22.5" customHeight="1" s="38">
      <c r="D9" s="30" t="n"/>
    </row>
    <row r="10" ht="22.5" customHeight="1" s="38">
      <c r="D10" s="30" t="n"/>
    </row>
    <row r="11" ht="22.5" customHeight="1" s="38">
      <c r="D11" s="30" t="n"/>
    </row>
    <row r="12" ht="22.5" customHeight="1" s="38">
      <c r="D12" s="30" t="n"/>
    </row>
    <row r="13" ht="22.5" customHeight="1" s="38">
      <c r="D13" s="30" t="n"/>
    </row>
    <row r="14" ht="22.5" customHeight="1" s="38">
      <c r="D14" s="30" t="n"/>
    </row>
    <row r="15" ht="22.5" customHeight="1" s="38">
      <c r="D15" s="30" t="n"/>
    </row>
    <row r="16" ht="22.5" customHeight="1" s="38">
      <c r="D16" s="30" t="n"/>
    </row>
    <row r="17" ht="22.5" customHeight="1" s="38">
      <c r="D17" s="30" t="n"/>
    </row>
    <row r="18" ht="22.5" customHeight="1" s="38">
      <c r="D18" s="30" t="n"/>
    </row>
    <row r="19" ht="22.5" customHeight="1" s="38">
      <c r="D19" s="30" t="n"/>
    </row>
    <row r="20" ht="22.5" customHeight="1" s="38">
      <c r="D20" s="30" t="n"/>
    </row>
    <row r="21" ht="15.75" customHeight="1" s="38">
      <c r="D21" s="30" t="n"/>
    </row>
    <row r="22" ht="15.75" customHeight="1" s="38">
      <c r="D22" s="30" t="n"/>
    </row>
    <row r="23" ht="15.75" customHeight="1" s="38">
      <c r="D23" s="30" t="n"/>
    </row>
    <row r="24" ht="15.75" customHeight="1" s="38">
      <c r="D24" s="30" t="n"/>
    </row>
    <row r="25" ht="15.75" customHeight="1" s="38">
      <c r="D25" s="30" t="n"/>
    </row>
    <row r="26" ht="15.75" customHeight="1" s="38">
      <c r="D26" s="30" t="n"/>
    </row>
    <row r="27" ht="15.75" customHeight="1" s="38">
      <c r="D27" s="30" t="n"/>
    </row>
    <row r="28" ht="15.75" customHeight="1" s="38">
      <c r="D28" s="30" t="n"/>
    </row>
    <row r="29" ht="15.75" customHeight="1" s="38">
      <c r="D29" s="30" t="n"/>
    </row>
    <row r="30" ht="15.75" customHeight="1" s="38">
      <c r="D30" s="30" t="n"/>
    </row>
    <row r="31" ht="15.75" customHeight="1" s="38">
      <c r="D31" s="30" t="n"/>
    </row>
    <row r="32" ht="15.75" customHeight="1" s="38">
      <c r="D32" s="30" t="n"/>
    </row>
    <row r="33" ht="15.75" customHeight="1" s="38">
      <c r="D33" s="30" t="n"/>
    </row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1">
    <mergeCell ref="A1:D1"/>
  </mergeCells>
  <dataValidations count="1">
    <dataValidation sqref="D6:D33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4" customWidth="1" style="38" min="2" max="2"/>
    <col width="30" customWidth="1" style="38" min="3" max="3"/>
    <col width="15" customWidth="1" style="38" min="4" max="4"/>
    <col width="8.710000000000001" customWidth="1" style="38" min="5" max="26"/>
  </cols>
  <sheetData>
    <row r="1">
      <c r="A1" s="39" t="inlineStr">
        <is>
          <t>Credit Card - SAMS (1261)</t>
        </is>
      </c>
    </row>
    <row r="2">
      <c r="A2" s="20" t="inlineStr">
        <is>
          <t>Balance Owed</t>
        </is>
      </c>
      <c r="B2" s="20" t="inlineStr">
        <is>
          <t>Charges</t>
        </is>
      </c>
      <c r="C2" s="20" t="inlineStr">
        <is>
          <t>Payments</t>
        </is>
      </c>
      <c r="D2" s="20" t="inlineStr">
        <is>
          <t>Projected</t>
        </is>
      </c>
    </row>
    <row r="3">
      <c r="A3" s="23">
        <f>IFERROR(-SUMIFS(Accounts!B2:B105,Accounts!A2:A105,"*SAMS*",Accounts!C2:C105,"Liability"),0)</f>
        <v/>
      </c>
      <c r="B3" s="23">
        <f>SUMPRODUCT((D6:D200=TRUE)*(B6:B200&lt;0)*B6:B200)</f>
        <v/>
      </c>
      <c r="C3" s="22">
        <f>SUMPRODUCT((D6:D200=TRUE)*(B6:B200&gt;0)*B6:B200)</f>
        <v/>
      </c>
      <c r="D3" s="24">
        <f>A3+B3+C3</f>
        <v/>
      </c>
    </row>
    <row r="5" ht="22.5" customHeight="1" s="38">
      <c r="A5" s="37" t="inlineStr">
        <is>
          <t>Description</t>
        </is>
      </c>
      <c r="B5" s="37" t="inlineStr">
        <is>
          <t>Amount</t>
        </is>
      </c>
      <c r="C5" s="37" t="inlineStr">
        <is>
          <t>Due Date</t>
        </is>
      </c>
      <c r="D5" s="37" t="inlineStr">
        <is>
          <t>In Calc?</t>
        </is>
      </c>
    </row>
    <row r="6" ht="22.5" customHeight="1" s="38">
      <c r="D6" s="30" t="n"/>
    </row>
    <row r="7" ht="22.5" customHeight="1" s="38">
      <c r="D7" s="30" t="n"/>
    </row>
    <row r="8" ht="22.5" customHeight="1" s="38">
      <c r="D8" s="30" t="n"/>
    </row>
    <row r="9" ht="22.5" customHeight="1" s="38">
      <c r="D9" s="30" t="n"/>
    </row>
    <row r="10" ht="22.5" customHeight="1" s="38">
      <c r="D10" s="30" t="n"/>
    </row>
    <row r="11" ht="22.5" customHeight="1" s="38">
      <c r="D11" s="30" t="n"/>
    </row>
    <row r="12" ht="22.5" customHeight="1" s="38">
      <c r="D12" s="30" t="n"/>
    </row>
    <row r="13" ht="22.5" customHeight="1" s="38">
      <c r="D13" s="30" t="n"/>
    </row>
    <row r="14" ht="22.5" customHeight="1" s="38">
      <c r="D14" s="30" t="n"/>
    </row>
    <row r="15" ht="22.5" customHeight="1" s="38">
      <c r="D15" s="30" t="n"/>
    </row>
    <row r="16" ht="22.5" customHeight="1" s="38">
      <c r="D16" s="30" t="n"/>
    </row>
    <row r="17" ht="22.5" customHeight="1" s="38">
      <c r="D17" s="30" t="n"/>
    </row>
    <row r="18" ht="22.5" customHeight="1" s="38">
      <c r="D18" s="30" t="n"/>
    </row>
    <row r="19" ht="22.5" customHeight="1" s="38">
      <c r="D19" s="30" t="n"/>
    </row>
    <row r="20" ht="22.5" customHeight="1" s="38">
      <c r="D20" s="30" t="n"/>
    </row>
    <row r="21" ht="15.75" customHeight="1" s="38">
      <c r="D21" s="30" t="n"/>
    </row>
    <row r="22" ht="15.75" customHeight="1" s="38">
      <c r="D22" s="30" t="n"/>
    </row>
    <row r="23" ht="15.75" customHeight="1" s="38">
      <c r="D23" s="30" t="n"/>
    </row>
    <row r="24" ht="15.75" customHeight="1" s="38">
      <c r="D24" s="30" t="n"/>
    </row>
    <row r="25" ht="15.75" customHeight="1" s="38">
      <c r="D25" s="30" t="n"/>
    </row>
    <row r="26" ht="15.75" customHeight="1" s="38">
      <c r="D26" s="30" t="n"/>
    </row>
    <row r="27" ht="15.75" customHeight="1" s="38">
      <c r="D27" s="30" t="n"/>
    </row>
    <row r="28" ht="15.75" customHeight="1" s="38">
      <c r="D28" s="30" t="n"/>
    </row>
    <row r="29" ht="15.75" customHeight="1" s="38">
      <c r="D29" s="30" t="n"/>
    </row>
    <row r="30" ht="15.75" customHeight="1" s="38">
      <c r="D30" s="30" t="n"/>
    </row>
    <row r="31" ht="15.75" customHeight="1" s="38">
      <c r="D31" s="30" t="n"/>
    </row>
    <row r="32" ht="15.75" customHeight="1" s="38">
      <c r="D32" s="30" t="n"/>
    </row>
    <row r="33" ht="15.75" customHeight="1" s="38">
      <c r="D33" s="30" t="n"/>
    </row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1">
    <mergeCell ref="A1:D1"/>
  </mergeCells>
  <dataValidations count="1">
    <dataValidation sqref="D6:D33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2026-05-05T02:01:28Z</dcterms:created>
  <dcterms:modified xsi:type="dcterms:W3CDTF">2026-05-05T11:47:24Z</dcterms:modified>
</cp:coreProperties>
</file>